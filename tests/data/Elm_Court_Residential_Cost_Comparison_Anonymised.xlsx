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otals" sheetId="1" state="visible" r:id="rId3"/>
    <sheet name="Hidden Data" sheetId="2" state="visible" r:id="rId4"/>
    <sheet name="Project Information - 1" sheetId="3" state="visible" r:id="rId5"/>
    <sheet name="Project Information - 2" sheetId="4" state="visible" r:id="rId6"/>
    <sheet name="Project Information - 3" sheetId="5" state="visible" r:id="rId7"/>
    <sheet name="SUMMARY" sheetId="6" state="visible" r:id="rId8"/>
    <sheet name="Adjustments" sheetId="7" state="visible" r:id="rId9"/>
    <sheet name="Frame - Proj 1" sheetId="8" state="hidden" r:id="rId10"/>
    <sheet name="0.1 Demolition &amp; alterations" sheetId="9" state="visible" r:id="rId11"/>
    <sheet name="1.1 Substructure" sheetId="10" state="visible" r:id="rId12"/>
    <sheet name="2.1 Frame" sheetId="11" state="visible" r:id="rId13"/>
    <sheet name="2.2 Upper floors" sheetId="12" state="visible" r:id="rId14"/>
    <sheet name="2.3 Roof" sheetId="13" state="visible" r:id="rId15"/>
    <sheet name="2.6 Windows &amp; external Doors" sheetId="14" state="visible" r:id="rId16"/>
    <sheet name="2.4 Stairs and Ramps" sheetId="15" state="visible" r:id="rId17"/>
    <sheet name="2.5 External walls" sheetId="16" state="visible" r:id="rId18"/>
    <sheet name="2.7 Internal Walls &amp; Partitions" sheetId="17" state="visible" r:id="rId19"/>
    <sheet name="2.8 Internal Doors" sheetId="18" state="visible" r:id="rId20"/>
    <sheet name="3.1 Wall Finishes" sheetId="19" state="visible" r:id="rId21"/>
    <sheet name="3.2 Floor Finishes" sheetId="20" state="visible" r:id="rId22"/>
    <sheet name="3.3 Ceiling finishes" sheetId="21" state="visible" r:id="rId23"/>
    <sheet name="4.1 FF&amp;E" sheetId="22" state="visible" r:id="rId24"/>
    <sheet name="5.1 Sanitary installations" sheetId="23" state="visible" r:id="rId25"/>
    <sheet name="5.2 Services equipment" sheetId="24" state="visible" r:id="rId26"/>
    <sheet name="5.3 Electrical Installations" sheetId="25" state="visible" r:id="rId27"/>
    <sheet name="5.4 Mechanical Installations" sheetId="26" state="visible" r:id="rId28"/>
    <sheet name="5.5 Lift &amp; conveyor" sheetId="27" state="visible" r:id="rId29"/>
    <sheet name="5.6 Fire &amp; lightning protection" sheetId="28" state="visible" r:id="rId30"/>
    <sheet name="5.7 Communication security" sheetId="29" state="visible" r:id="rId31"/>
    <sheet name="5.8 Specialist installations" sheetId="30" state="visible" r:id="rId32"/>
    <sheet name="5.9 BWIC with services" sheetId="31" state="visible" r:id="rId33"/>
    <sheet name="5.10 Testing &amp; Commissioning" sheetId="32" state="visible" r:id="rId34"/>
    <sheet name="6.1 Prefab buildings &amp; units" sheetId="33" state="visible" r:id="rId35"/>
    <sheet name="7.1 Minor demolition" sheetId="34" state="visible" r:id="rId36"/>
    <sheet name="7.2 Repairs to existing" sheetId="35" state="visible" r:id="rId37"/>
    <sheet name="7.3 Damp proof courses" sheetId="36" state="visible" r:id="rId38"/>
    <sheet name="7.4 Facade retention" sheetId="37" state="visible" r:id="rId39"/>
    <sheet name="7.5 Cleaning existing surfaces" sheetId="38" state="visible" r:id="rId40"/>
    <sheet name="7.6 Renovation works" sheetId="39" state="visible" r:id="rId41"/>
    <sheet name="8.1 Site preparation works" sheetId="40" state="visible" r:id="rId42"/>
    <sheet name="8.2 Roads paths pavings" sheetId="41" state="visible" r:id="rId43"/>
    <sheet name="8.3 Soft landscapes planting" sheetId="42" state="visible" r:id="rId44"/>
    <sheet name="8.4 Fencing railings &amp; walls" sheetId="43" state="visible" r:id="rId45"/>
    <sheet name="8.5 External fixtures" sheetId="44" state="visible" r:id="rId46"/>
    <sheet name="8.6 External drainage" sheetId="45" state="visible" r:id="rId47"/>
    <sheet name="8.7 External services" sheetId="46" state="visible" r:id="rId48"/>
    <sheet name="8.8 Minor building &amp; ancillary" sheetId="47" state="visible" r:id="rId49"/>
    <sheet name="9.0 Contractor's preliminaries" sheetId="48" state="visible" r:id="rId50"/>
    <sheet name="10.0 Contractor's overheads" sheetId="49" state="visible" r:id="rId51"/>
    <sheet name="11.1 Consultant fees" sheetId="50" state="visible" r:id="rId52"/>
    <sheet name="11.2 Contractor's pre-con fees" sheetId="51" state="visible" r:id="rId53"/>
    <sheet name="11.3 Contractor's design fees" sheetId="52" state="visible" r:id="rId54"/>
    <sheet name="13.1 Design development risks" sheetId="53" state="visible" r:id="rId55"/>
    <sheet name="13.2 Construction risks" sheetId="54" state="visible" r:id="rId56"/>
    <sheet name="14.1 Tender Inflation" sheetId="55" state="visible" r:id="rId57"/>
    <sheet name="14.2 Construction Inflation" sheetId="56" state="visible" r:id="rId58"/>
  </sheets>
  <definedNames>
    <definedName function="false" hidden="false" localSheetId="18" name="_xlnm.Print_Area" vbProcedure="false">'3.1 Wall Finishes'!$A$1:$AP$77</definedName>
    <definedName function="false" hidden="false" localSheetId="18" name="_xlnm.Print_Titles" vbProcedure="false">'3.1 Wall Finishes'!$A:$B,'3.1 Wall Finishes'!$1:$5</definedName>
    <definedName function="false" hidden="false" localSheetId="19" name="_xlnm.Print_Area" vbProcedure="false">'3.2 Floor Finishes'!$A$1:$AP$72</definedName>
    <definedName function="false" hidden="false" localSheetId="19" name="_xlnm.Print_Titles" vbProcedure="false">'3.2 Floor Finishes'!$3:$4</definedName>
    <definedName function="false" hidden="false" localSheetId="6" name="_xlnm.Print_Area" vbProcedure="false">Adjustments!$A$1:$AQ$58</definedName>
    <definedName function="false" hidden="false" localSheetId="6" name="_xlnm.Print_Titles" vbProcedure="false">Adjustments!$B:$C,Adjustments!$1:$5</definedName>
    <definedName function="false" hidden="false" localSheetId="7" name="_xlnm.Print_Area" vbProcedure="false">'Frame - Proj 1'!$A$1:$F$12</definedName>
    <definedName function="false" hidden="false" localSheetId="7" name="_xlnm.Print_Titles" vbProcedure="false">'Frame - Proj 1'!$1:$5</definedName>
    <definedName function="false" hidden="false" localSheetId="5" name="_xlnm.Print_Area" vbProcedure="false">SUMMARY!$A$1:$AE$82</definedName>
    <definedName function="false" hidden="false" localSheetId="5" name="_xlnm.Print_Titles" vbProcedure="false">SUMMARY!$A:$D,SUMMARY!$3:$4</definedName>
    <definedName function="false" hidden="true" name="a" vbProcedure="false">{"A.I.s",#N/A,TRUE,"Architects Instructions"}</definedName>
    <definedName function="false" hidden="true" name="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aaaaaaa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aaaaaaaaaaaaaaaaaaaaaaaaaaaaaaaaaa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AAA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aa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ab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Ant" vbProcedure="false">{"A.I.s",#N/A,TRUE,"Architects Instructions"}</definedName>
    <definedName function="false" hidden="true" name="AR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bbb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bbbbbbbbbbbbbbbbbbbbbbbbbbb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bbnnmj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BCISQ" vbProcedure="false">'Hidden Data'!$A$4:$A$7</definedName>
    <definedName function="false" hidden="true" name="bvbbb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bcbcbc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bgbgfgfgf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cccccccccccccccccccccccccccccccccccccccccccc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ccxcc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cdhdfhfhfh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false" name="Client_Name" vbProcedure="false">#REF!</definedName>
    <definedName function="false" hidden="false" name="complexityRating" vbProcedure="false">'Hidden Data'!$O$7:$O$11</definedName>
    <definedName function="false" hidden="false" name="currency" vbProcedure="false">'Hidden Data'!$K$12:$K$14</definedName>
    <definedName function="false" hidden="true" name="cvvv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dd" vbProcedure="false">{"A.I.s",#N/A,TRUE,"Architects Instructions"}</definedName>
    <definedName function="false" hidden="true" name="dddd" vbProcedure="false">{"A.I.s",#N/A,TRUE,"Architects Instructions"}</definedName>
    <definedName function="false" hidden="true" name="dddddddddddddddddddddddddddddddddd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dd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df" vbProcedure="false">{#N/A,#N/A,TRUE,"PROGRESS VALUATION";#N/A,#N/A,TRUE,"PROVISIONAL SUMS";#N/A,#N/A,TRUE,"VARIATIONS";#N/A,#N/A,TRUE,"INTERIM PAYMENTS"}</definedName>
    <definedName function="false" hidden="true" name="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e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EE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E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rtr6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u.070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u.07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u.07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EWREW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dfhhhhhhhhhhhhh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egeg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egeg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f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fhy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f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ff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Firm_Price" vbProcedure="false">#REF!</definedName>
    <definedName function="false" hidden="true" name="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ftt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gggggggggggggggggggggggggggg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gggggggggggggggggggggggggggggg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hh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hhg.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ghh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hoo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ghoo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GIFA" vbProcedure="false">#REF!</definedName>
    <definedName function="false" hidden="true" name="h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hf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hghgjgj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hg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hh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huh" vbProcedure="false">{"A.I.s",#N/A,TRUE,"Architects Instructions"}</definedName>
    <definedName function="false" hidden="true" name="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i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gjg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jjj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jjjjjjjjjjjjjjjjjjjjjjj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jjjjjjjjjjjjjjjjjjjjjjjjjjjjjjjjjjj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j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kgkgjk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jtjt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l" vbProcedure="false">{"Valuation",#N/A,FALSE,"VALUATION";"Standard",#N/A,FALSE,"RETENTION STATEMENT";"Progress Chart",#N/A,FALSE,"PROGRESS GRAPH"}</definedName>
    <definedName function="false" hidden="true" name="ll" vbProcedure="false">{"A.I.s",#N/A,TRUE,"Architects Instructions"}</definedName>
    <definedName function="false" hidden="true" name="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mmmiii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mm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mmmmmmmmmmmmmmmmmm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nbmb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nnmu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nn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ooooooo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oo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podium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podium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pppppp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ppppppppppppppppppppppppppppppppppp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Project_Address" vbProcedure="false">#REF!</definedName>
    <definedName function="false" hidden="false" name="Project_Name" vbProcedure="false">#REF!</definedName>
    <definedName function="false" hidden="true" name="Prov" vbProcedure="false">{"A.I.s",#N/A,TRUE,"Architects Instructions"}</definedName>
    <definedName function="false" hidden="true" name="q" vbProcedure="false">#REF!</definedName>
    <definedName function="false" hidden="true" name="qqqqqq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qqqqqqqqqqqqqqqqqqqqqqqqqqqqqqqqqqqqqqqqq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qq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econ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recon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recon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false" name="REGION" vbProcedure="false">'Hidden Data'!$E$4:$E$35</definedName>
    <definedName function="false" hidden="true" name="re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Report_Type" vbProcedure="false">#REF!</definedName>
    <definedName function="false" hidden="true" name="review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r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ri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rrrrrrrrrrrrrrrrrrrrrrrrrrrrrrrrrrrrrrrrrr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r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rt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t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RT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try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ttry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rty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SECTOR" vbProcedure="false">'Hidden Data'!$C$4:$C$35</definedName>
    <definedName function="false" hidden="false" name="Site_type" vbProcedure="false">'Hidden Data'!$M$4:$M$17</definedName>
    <definedName function="false" hidden="true" name="ss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sssssssssssss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sss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suuu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ss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STAGE" vbProcedure="false">'Hidden Data'!$G$4:$G$32</definedName>
    <definedName function="false" hidden="true" name="summary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Trialsummary" vbProcedure="false">{"A.I.s",#N/A,TRUE,"Architects Instructions"}</definedName>
    <definedName function="false" hidden="true" name="t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TTJJ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tt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ttttttttttttttttttttttttttttttttttttttt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gftugfnh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tuit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u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uu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uuuuuuuuuuuuuuuuuuuuuuuuuuuuuuuuuuu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uuyy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val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false" name="Value_FP1" vbProcedure="false">#REF!</definedName>
    <definedName function="false" hidden="true" name="vfhjigfhjgfhjg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vgfggh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vvvvv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vvvvvvvvvvvvvvvvv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b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b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efrr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m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313VAL7.XLS." vbProcedure="false">{#N/A,#N/A,TRUE,"PROGRESS VALUATION";#N/A,#N/A,TRUE,"PROVISIONAL SUMS";#N/A,#N/A,TRUE,"VARIATIONS";#N/A,#N/A,TRUE,"INTERIM PAYMENTS"}</definedName>
    <definedName function="false" hidden="true" name="wrn.313VAL8.XLS." vbProcedure="false">{#N/A,#N/A,TRUE,"PROGRESS VALUATION";#N/A,#N/A,TRUE,"PROVISIONAL SUMS";#N/A,#N/A,TRUE,"VARIATIONS";#N/A,#N/A,TRUE,"INTERIM PAYMENTS"}</definedName>
    <definedName function="false" hidden="true" name="wrn.502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A.I.s." vbProcedure="false">{"A.I.s",#N/A,TRUE,"Architects Instructions"}</definedName>
    <definedName function="false" hidden="true" name="wrn.AllEngine." vbProcedure="false">{"FullPL",#N/A,TRUE,"Engine";"PubRestPL",#N/A,TRUE,"Engine";"FunFactoryPL",#N/A,TRUE,"Engine";"TravelInnPL",#N/A,TRUE,"Engine";"LabourCalculation",#N/A,TRUE,"Engine";"CashFlow",#N/A,TRUE,"Engine";"Depreciation",#N/A,TRUE,"Engine";"CapitalAllowances",#N/A,TRUE,"Engine"}</definedName>
    <definedName function="false" hidden="true" name="wrn.BRS._.and._.DCS._.only." vbProcedure="false">{#N/A,#N/A,TRUE,"Details";#N/A,#N/A,TRUE,"BRS";#N/A,#N/A,TRUE,"DCS"}</definedName>
    <definedName function="false" hidden="true" name="wrn.BRS._.Only." vbProcedure="false">{#N/A,#N/A,FALSE,"Details";#N/A,#N/A,FALSE,"BRS"}</definedName>
    <definedName function="false" hidden="true" name="wrn.DCS._.only." vbProcedure="false">{#N/A,#N/A,FALSE,"DCS"}</definedName>
    <definedName function="false" hidden="true" name="wrn.FINAL._.ACCOUNT." vbProcedure="false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function="false" hidden="true" name="wrn.Final._.Valuation." vbProcedure="false">{"Valuation",#N/A,FALSE,"VALUATION";"Practical Completion",#N/A,FALSE,"RETENTION STATEMENT";"Progress Chart",#N/A,FALSE,"PROGRESS GRAPH"}</definedName>
    <definedName function="false" hidden="true" name="wrn.FINANCIAL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function="false" hidden="true" name="wrn.Full._.Budget._.Print." vbProcedure="false">{#N/A,#N/A,TRUE,"Details";#N/A,#N/A,TRUE,"BRS";#N/A,#N/A,TRUE,"DCS";#N/A,#N/A,TRUE,"Summary";#N/A,#N/A,TRUE,"Shell";#N/A,#N/A,TRUE,"Car Park";#N/A,#N/A,TRUE,"Elevations";#N/A,#N/A,TRUE,"Bar  Rest";#N/A,#N/A,TRUE,"WC's";#N/A,#N/A,TRUE,"Service";#N/A,#N/A,TRUE,"Kirchen";#N/A,#N/A,TRUE,"Collection"}</definedName>
    <definedName function="false" hidden="true" name="wrn.Glamorgan._.monthly." vbProcedure="false">{#N/A,#N/A,FALSE,"Cover";#N/A,#N/A,FALSE,"Contents";#N/A,#N/A,FALSE,"Key Data";#N/A,#N/A,FALSE,"Anticipated";#N/A,#N/A,FALSE,"Cashflow";#N/A,#N/A,FALSE,"Change Notes"}</definedName>
    <definedName function="false" hidden="true" name="wrn.Interim._.Valuation." vbProcedure="false">{"Valuation",#N/A,FALSE,"VALUATION";"Standard",#N/A,FALSE,"RETENTION STATEMENT";"Progress Chart",#N/A,FALSE,"PROGRESS GRAPH"}</definedName>
    <definedName function="false" hidden="true" name="wrn.khk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khk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Monthly._.Report." vbProcedure="false">{#N/A,#N/A,FALSE,"Cover";#N/A,#N/A,FALSE,"Contents";#N/A,#N/A,FALSE,"Key Data";#N/A,#N/A,FALSE,"Cashflow";#N/A,#N/A,FALSE,"Change Notes"}</definedName>
    <definedName function="false" hidden="true" name="wrn.PLsandCashFlow." vbProcedure="false">{"FullPL",#N/A,TRUE,"Engine";"PubRestPL",#N/A,TRUE,"Engine";"FunFactoryPL",#N/A,TRUE,"Engine";"TravelInnPL",#N/A,TRUE,"Engine";"CashFlow",#N/A,TRUE,"Engine"}</definedName>
    <definedName function="false" hidden="true" name="wrn.PROGRESS._.VALUATION." vbProcedure="false">{#N/A,#N/A,TRUE,"VALUATION";#N/A,#N/A,TRUE,"VALUATION DETAILS";#N/A,#N/A,TRUE,"PAID TO DATE"}</definedName>
    <definedName function="false" hidden="true" name="wrn.re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1.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rep50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REP502.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3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3.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4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REP50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0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REP50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1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REP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12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6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wrn.REP58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950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5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p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Y848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REY849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try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rn.VALUATION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name="wt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wwwwwwwwwwwwwwww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xxx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xxxxxxx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xxxxxxxxxxxxxxxxxxxxxxxx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xxx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name="YesNo" vbProcedure="false">'Hidden Data'!$I$4:$I$5</definedName>
    <definedName function="false" hidden="true" name="yu46jh5" vbProcedure="false">#REF!</definedName>
    <definedName function="false" hidden="true" name="yy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yy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yy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yyyyyyyyyyyyyyyyyyyyyyyyyyyyyyyyyyyy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yyyyyyyyyyyyyyyyyyyyyyyyyyyyyyyyyyyy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zzz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zzzzzzzzzzzzzzzzzzzz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zzzzzzzzzzzzzzz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Fill" vbProcedure="false">#REF!</definedName>
    <definedName function="false" hidden="true" name="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Key1" vbProcedure="false">#REF!</definedName>
    <definedName function="false" hidden="true" name="_Key2" vbProcedure="false">#REF!</definedName>
    <definedName function="false" hidden="true" name="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Order1" vbProcedure="false">255</definedName>
    <definedName function="false" hidden="true" name="_Order2" vbProcedure="false">255</definedName>
    <definedName function="false" hidden="true" name="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Sort" vbProcedure="false">#REF!</definedName>
    <definedName function="false" hidden="true" name="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123Graph_A" vbProcedure="false">#REF!</definedName>
    <definedName function="false" hidden="true" name="__123Graph_APETER" vbProcedure="false">#REF!</definedName>
    <definedName function="false" hidden="true" name="__123Graph_LBL_A" vbProcedure="false">#REF!</definedName>
    <definedName function="false" hidden="true" name="__123Graph_X" vbProcedure="false">#REF!</definedName>
    <definedName function="false" hidden="true" name="__123Graph_XPETER" vbProcedure="false">#REF!</definedName>
    <definedName function="false" hidden="true" name="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name="_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name="_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5" name="df" vbProcedure="false">{#N/A,#N/A,TRUE,"PROGRESS VALUATION";#N/A,#N/A,TRUE,"PROVISIONAL SUMS";#N/A,#N/A,TRUE,"VARIATIONS";#N/A,#N/A,TRUE,"INTERIM PAYMENTS"}</definedName>
    <definedName function="false" hidden="true" localSheetId="5" name="wrn.313VAL7.XLS." vbProcedure="false">{#N/A,#N/A,TRUE,"PROGRESS VALUATION";#N/A,#N/A,TRUE,"PROVISIONAL SUMS";#N/A,#N/A,TRUE,"VARIATIONS";#N/A,#N/A,TRUE,"INTERIM PAYMENTS"}</definedName>
    <definedName function="false" hidden="true" localSheetId="5" name="wrn.313VAL8.XLS." vbProcedure="false">{#N/A,#N/A,TRUE,"PROGRESS VALUATION";#N/A,#N/A,TRUE,"PROVISIONAL SUMS";#N/A,#N/A,TRUE,"VARIATIONS";#N/A,#N/A,TRUE,"INTERIM PAYMENTS"}</definedName>
    <definedName function="false" hidden="true" localSheetId="5" name="wrn.PROGRESS._.VALUATION." vbProcedure="false">{#N/A,#N/A,TRUE,"VALUATION";#N/A,#N/A,TRUE,"VALUATION DETAILS";#N/A,#N/A,TRUE,"PAID TO DATE"}</definedName>
    <definedName function="false" hidden="false" localSheetId="5" name="_xlnm.Print_Titles" vbProcedure="false">SUMMARY!$3:$4,SUMMARY!$A:$D</definedName>
    <definedName function="false" hidden="true" localSheetId="6" name="a" vbProcedure="false">{"A.I.s",#N/A,TRUE,"Architects Instructions"}</definedName>
    <definedName function="false" hidden="true" localSheetId="6" name="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aaaaaaa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aaaaaaaaaaaaaaaaaaaaaaaaaaaaaaaaaa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AAA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aa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ab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Ant" vbProcedure="false">{"A.I.s",#N/A,TRUE,"Architects Instructions"}</definedName>
    <definedName function="false" hidden="true" localSheetId="6" name="AR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bbb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bbbbbbbbbbbbbbbbbbbbbbbbbbb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bbnnmj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bvbbb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bcbcbc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bgbgfgfgf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cccccccccccccccccccccccccccccccccccccccccccc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ccxcc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cdhdfhfhfh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cvvv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dd" vbProcedure="false">{"A.I.s",#N/A,TRUE,"Architects Instructions"}</definedName>
    <definedName function="false" hidden="true" localSheetId="6" name="dddd" vbProcedure="false">{"A.I.s",#N/A,TRUE,"Architects Instructions"}</definedName>
    <definedName function="false" hidden="true" localSheetId="6" name="dddddddddddddddddddddddddddddddddd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dd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df" vbProcedure="false">{#N/A,#N/A,TRUE,"PROGRESS VALUATION";#N/A,#N/A,TRUE,"PROVISIONAL SUMS";#N/A,#N/A,TRUE,"VARIATIONS";#N/A,#N/A,TRUE,"INTERIM PAYMENTS"}</definedName>
    <definedName function="false" hidden="true" localSheetId="6" name="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e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EE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E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rtr6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u.070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u.07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u.07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EWREW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dfhhhhhhhhhhhhh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egeg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egeg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f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fhy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f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ff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ftt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gggggggggggggggggggggggggggg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gggggggggggggggggggggggggggggg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hh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hhg.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ghh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hoo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ghoo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h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hf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hghgjgj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hg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hh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huh" vbProcedure="false">{"A.I.s",#N/A,TRUE,"Architects Instructions"}</definedName>
    <definedName function="false" hidden="true" localSheetId="6" name="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i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gjg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jjj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jjjjjjjjjjjjjjjjjjjjjjj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jjjjjjjjjjjjjjjjjjjjjjjjjjjjjjjjjjj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j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kgkgjk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jtjt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l" vbProcedure="false">{"Valuation",#N/A,FALSE,"VALUATION";"Standard",#N/A,FALSE,"RETENTION STATEMENT";"Progress Chart",#N/A,FALSE,"PROGRESS GRAPH"}</definedName>
    <definedName function="false" hidden="true" localSheetId="6" name="ll" vbProcedure="false">{"A.I.s",#N/A,TRUE,"Architects Instructions"}</definedName>
    <definedName function="false" hidden="true" localSheetId="6" name="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mmmiii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mm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mmmmmmmmmmmmmmmmmm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nbmb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nnmu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nn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ooooooo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oo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podium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podium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pppppp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ppppppppppppppppppppppppppppppppppp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Prov" vbProcedure="false">{"A.I.s",#N/A,TRUE,"Architects Instructions"}</definedName>
    <definedName function="false" hidden="true" localSheetId="6" name="qqqqqq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qqqqqqqqqqqqqqqqqqqqqqqqqqqqqqqqqqqqqqqqq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qq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econ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recon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recon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re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eview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r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ri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rrrrrrrrrrrrrrrrrrrrrrrrrrrrrrrrrrrrrrrrrr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r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rt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t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RT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try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ttry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rty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sssssssssssss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sss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suuu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s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summary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Trialsummary" vbProcedure="false">{"A.I.s",#N/A,TRUE,"Architects Instructions"}</definedName>
    <definedName function="false" hidden="true" localSheetId="6" name="t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TTJJ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tt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ttttttttttttttttttttttttttttttttttttttt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gftugfnh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tuit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u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uu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uuuuuuuuuuuuuuuuuuuuuuuuuuuuuuuuuuu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uuyy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val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localSheetId="6" name="vfhjigfhjgfhjg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vgfggh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vvvvv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vvvvvvvvvvvvvvvvv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b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b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efrr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m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313VAL7.XLS." vbProcedure="false">{#N/A,#N/A,TRUE,"PROGRESS VALUATION";#N/A,#N/A,TRUE,"PROVISIONAL SUMS";#N/A,#N/A,TRUE,"VARIATIONS";#N/A,#N/A,TRUE,"INTERIM PAYMENTS"}</definedName>
    <definedName function="false" hidden="true" localSheetId="6" name="wrn.313VAL8.XLS." vbProcedure="false">{#N/A,#N/A,TRUE,"PROGRESS VALUATION";#N/A,#N/A,TRUE,"PROVISIONAL SUMS";#N/A,#N/A,TRUE,"VARIATIONS";#N/A,#N/A,TRUE,"INTERIM PAYMENTS"}</definedName>
    <definedName function="false" hidden="true" localSheetId="6" name="wrn.502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A.I.s." vbProcedure="false">{"A.I.s",#N/A,TRUE,"Architects Instructions"}</definedName>
    <definedName function="false" hidden="true" localSheetId="6" name="wrn.AllEngine." vbProcedure="false">{"FullPL",#N/A,TRUE,"Engine";"PubRestPL",#N/A,TRUE,"Engine";"FunFactoryPL",#N/A,TRUE,"Engine";"TravelInnPL",#N/A,TRUE,"Engine";"LabourCalculation",#N/A,TRUE,"Engine";"CashFlow",#N/A,TRUE,"Engine";"Depreciation",#N/A,TRUE,"Engine";"CapitalAllowances",#N/A,TRUE,"Engine"}</definedName>
    <definedName function="false" hidden="true" localSheetId="6" name="wrn.BRS._.and._.DCS._.only." vbProcedure="false">{#N/A,#N/A,TRUE,"Details";#N/A,#N/A,TRUE,"BRS";#N/A,#N/A,TRUE,"DCS"}</definedName>
    <definedName function="false" hidden="true" localSheetId="6" name="wrn.BRS._.Only." vbProcedure="false">{#N/A,#N/A,FALSE,"Details";#N/A,#N/A,FALSE,"BRS"}</definedName>
    <definedName function="false" hidden="true" localSheetId="6" name="wrn.DCS._.only." vbProcedure="false">{#N/A,#N/A,FALSE,"DCS"}</definedName>
    <definedName function="false" hidden="true" localSheetId="6" name="wrn.FINAL._.ACCOUNT." vbProcedure="false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function="false" hidden="true" localSheetId="6" name="wrn.Final._.Valuation." vbProcedure="false">{"Valuation",#N/A,FALSE,"VALUATION";"Practical Completion",#N/A,FALSE,"RETENTION STATEMENT";"Progress Chart",#N/A,FALSE,"PROGRESS GRAPH"}</definedName>
    <definedName function="false" hidden="true" localSheetId="6" name="wrn.FINANCIAL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function="false" hidden="true" localSheetId="6" name="wrn.Full._.Budget._.Print." vbProcedure="false">{#N/A,#N/A,TRUE,"Details";#N/A,#N/A,TRUE,"BRS";#N/A,#N/A,TRUE,"DCS";#N/A,#N/A,TRUE,"Summary";#N/A,#N/A,TRUE,"Shell";#N/A,#N/A,TRUE,"Car Park";#N/A,#N/A,TRUE,"Elevations";#N/A,#N/A,TRUE,"Bar  Rest";#N/A,#N/A,TRUE,"WC's";#N/A,#N/A,TRUE,"Service";#N/A,#N/A,TRUE,"Kirchen";#N/A,#N/A,TRUE,"Collection"}</definedName>
    <definedName function="false" hidden="true" localSheetId="6" name="wrn.Glamorgan._.monthly." vbProcedure="false">{#N/A,#N/A,FALSE,"Cover";#N/A,#N/A,FALSE,"Contents";#N/A,#N/A,FALSE,"Key Data";#N/A,#N/A,FALSE,"Anticipated";#N/A,#N/A,FALSE,"Cashflow";#N/A,#N/A,FALSE,"Change Notes"}</definedName>
    <definedName function="false" hidden="true" localSheetId="6" name="wrn.Interim._.Valuation." vbProcedure="false">{"Valuation",#N/A,FALSE,"VALUATION";"Standard",#N/A,FALSE,"RETENTION STATEMENT";"Progress Chart",#N/A,FALSE,"PROGRESS GRAPH"}</definedName>
    <definedName function="false" hidden="true" localSheetId="6" name="wrn.khk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khk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Monthly._.Report." vbProcedure="false">{#N/A,#N/A,FALSE,"Cover";#N/A,#N/A,FALSE,"Contents";#N/A,#N/A,FALSE,"Key Data";#N/A,#N/A,FALSE,"Cashflow";#N/A,#N/A,FALSE,"Change Notes"}</definedName>
    <definedName function="false" hidden="true" localSheetId="6" name="wrn.PLsandCashFlow." vbProcedure="false">{"FullPL",#N/A,TRUE,"Engine";"PubRestPL",#N/A,TRUE,"Engine";"FunFactoryPL",#N/A,TRUE,"Engine";"TravelInnPL",#N/A,TRUE,"Engine";"CashFlow",#N/A,TRUE,"Engine"}</definedName>
    <definedName function="false" hidden="true" localSheetId="6" name="wrn.PROGRESS._.VALUATION." vbProcedure="false">{#N/A,#N/A,TRUE,"VALUATION";#N/A,#N/A,TRUE,"VALUATION DETAILS";#N/A,#N/A,TRUE,"PAID TO DATE"}</definedName>
    <definedName function="false" hidden="true" localSheetId="6" name="wrn.re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1.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rep50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REP502.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3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3.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4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REP50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0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REP50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1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REP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12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6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wrn.REP58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950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5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p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Y848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REY849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try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rn.VALUATION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localSheetId="6" name="wt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wwwwwwwwwwwwwwww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xxx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xxxxxxx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xxxxxxxxxxxxxxxxxxxxxxxx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xxx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yy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yy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yy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yyyyyyyyyyyyyyyyyyyyyyyyyyyyyyyyyyyy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yyyyyyyyyyyyyyyyyyyyyyyyyyyyyyyyyyyy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zzz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zzzzzzzzzzzzzzzzzzzz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zzzzzzzzzzzzzzz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Fill" vbProcedure="false">#REF!</definedName>
    <definedName function="false" hidden="true" localSheetId="6" name="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Key1" vbProcedure="false">#REF!</definedName>
    <definedName function="false" hidden="true" localSheetId="6" name="_Key2" vbProcedure="false">#REF!</definedName>
    <definedName function="false" hidden="true" localSheetId="6" name="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Sort" vbProcedure="false">#REF!</definedName>
    <definedName function="false" hidden="true" localSheetId="6" name="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localSheetId="6" name="_xlnm.Print_Titles" vbProcedure="false">Adjustments!$1:$5,Adjustments!$B:$C</definedName>
    <definedName function="false" hidden="true" localSheetId="6" name="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123Graph_A" vbProcedure="false">#REF!</definedName>
    <definedName function="false" hidden="true" localSheetId="6" name="__123Graph_APETER" vbProcedure="false">#REF!</definedName>
    <definedName function="false" hidden="true" localSheetId="6" name="__123Graph_LBL_A" vbProcedure="false">#REF!</definedName>
    <definedName function="false" hidden="true" localSheetId="6" name="__123Graph_X" vbProcedure="false">#REF!</definedName>
    <definedName function="false" hidden="true" localSheetId="6" name="__123Graph_XPETER" vbProcedure="false">#REF!</definedName>
    <definedName function="false" hidden="true" localSheetId="6" name="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6" name="_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6" name="_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7" name="_Fill" vbProcedure="false">#REF!</definedName>
    <definedName function="false" hidden="true" localSheetId="7" name="_Key1" vbProcedure="false">#REF!</definedName>
    <definedName function="false" hidden="true" localSheetId="7" name="_Key2" vbProcedure="false">#REF!</definedName>
    <definedName function="false" hidden="true" localSheetId="7" name="_Sort" vbProcedure="false">#REF!</definedName>
    <definedName function="false" hidden="true" localSheetId="7" name="__123Graph_A" vbProcedure="false">#REF!</definedName>
    <definedName function="false" hidden="true" localSheetId="7" name="__123Graph_APETER" vbProcedure="false">#REF!</definedName>
    <definedName function="false" hidden="true" localSheetId="7" name="__123Graph_LBL_A" vbProcedure="false">#REF!</definedName>
    <definedName function="false" hidden="true" localSheetId="7" name="__123Graph_X" vbProcedure="false">#REF!</definedName>
    <definedName function="false" hidden="true" localSheetId="7" name="__123Graph_XPETER" vbProcedure="false">#REF!</definedName>
    <definedName function="false" hidden="true" localSheetId="18" name="a" vbProcedure="false">{"A.I.s",#N/A,TRUE,"Architects Instructions"}</definedName>
    <definedName function="false" hidden="true" localSheetId="18" name="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aaaaaaa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aaaaaaaaaaaaaaaaaaaaaaaaaaaaaaaaaa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AAA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aa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ab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Ant" vbProcedure="false">{"A.I.s",#N/A,TRUE,"Architects Instructions"}</definedName>
    <definedName function="false" hidden="true" localSheetId="18" name="AR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bbb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bbbbbbbbbbbbbbbbbbbbbbbbbbb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bbnnmj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bvbbb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bcbcbc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bgbgfgfgf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cccccccccccccccccccccccccccccccccccccccccccc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ccxcc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cdhdfhfhfh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cvvv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dd" vbProcedure="false">{"A.I.s",#N/A,TRUE,"Architects Instructions"}</definedName>
    <definedName function="false" hidden="true" localSheetId="18" name="dddd" vbProcedure="false">{"A.I.s",#N/A,TRUE,"Architects Instructions"}</definedName>
    <definedName function="false" hidden="true" localSheetId="18" name="dddddddddddddddddddddddddddddddddd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dd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df" vbProcedure="false">{#N/A,#N/A,TRUE,"PROGRESS VALUATION";#N/A,#N/A,TRUE,"PROVISIONAL SUMS";#N/A,#N/A,TRUE,"VARIATIONS";#N/A,#N/A,TRUE,"INTERIM PAYMENTS"}</definedName>
    <definedName function="false" hidden="true" localSheetId="18" name="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e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EE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E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rtr6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u.070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u.07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u.07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EWREW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dfhhhhhhhhhhhhh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egeg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egeg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f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fhy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f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ff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ftt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gggggggggggggggggggggggggggg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gggggggggggggggggggggggggggggg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hh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hhg.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ghh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hoo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ghoo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h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hf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hghgjgj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hg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hh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huh" vbProcedure="false">{"A.I.s",#N/A,TRUE,"Architects Instructions"}</definedName>
    <definedName function="false" hidden="true" localSheetId="18" name="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i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gjg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jjj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jjjjjjjjjjjjjjjjjjjjjjj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jjjjjjjjjjjjjjjjjjjjjjjjjjjjjjjjjjj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j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kgkgjk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jtjt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l" vbProcedure="false">{"Valuation",#N/A,FALSE,"VALUATION";"Standard",#N/A,FALSE,"RETENTION STATEMENT";"Progress Chart",#N/A,FALSE,"PROGRESS GRAPH"}</definedName>
    <definedName function="false" hidden="true" localSheetId="18" name="ll" vbProcedure="false">{"A.I.s",#N/A,TRUE,"Architects Instructions"}</definedName>
    <definedName function="false" hidden="true" localSheetId="18" name="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mmmiii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mm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mmmmmmmmmmmmmmmmmm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nbmb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nnmu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nn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ooooooo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oo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podium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podium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pppppp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ppppppppppppppppppppppppppppppppppp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Prov" vbProcedure="false">{"A.I.s",#N/A,TRUE,"Architects Instructions"}</definedName>
    <definedName function="false" hidden="true" localSheetId="18" name="qqqqqq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qqqqqqqqqqqqqqqqqqqqqqqqqqqqqqqqqqqqqqqqq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qq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econ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recon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recon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re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eview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r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ri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rrrrrrrrrrrrrrrrrrrrrrrrrrrrrrrrrrrrrrrrrr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r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rt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t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RT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try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ttry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rty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sssssssssssss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sss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suuu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s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summary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Trialsummary" vbProcedure="false">{"A.I.s",#N/A,TRUE,"Architects Instructions"}</definedName>
    <definedName function="false" hidden="true" localSheetId="18" name="t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TTJJ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tt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ttttttttttttttttttttttttttttttttttttttt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gftugfnh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tuit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u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uu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uuuuuuuuuuuuuuuuuuuuuuuuuuuuuuuuuuu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uuyy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val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localSheetId="18" name="vfhjigfhjgfhjg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vgfggh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vvvvv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vvvvvvvvvvvvvvvvv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b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b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efrr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m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313VAL7.XLS." vbProcedure="false">{#N/A,#N/A,TRUE,"PROGRESS VALUATION";#N/A,#N/A,TRUE,"PROVISIONAL SUMS";#N/A,#N/A,TRUE,"VARIATIONS";#N/A,#N/A,TRUE,"INTERIM PAYMENTS"}</definedName>
    <definedName function="false" hidden="true" localSheetId="18" name="wrn.313VAL8.XLS." vbProcedure="false">{#N/A,#N/A,TRUE,"PROGRESS VALUATION";#N/A,#N/A,TRUE,"PROVISIONAL SUMS";#N/A,#N/A,TRUE,"VARIATIONS";#N/A,#N/A,TRUE,"INTERIM PAYMENTS"}</definedName>
    <definedName function="false" hidden="true" localSheetId="18" name="wrn.502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A.I.s." vbProcedure="false">{"A.I.s",#N/A,TRUE,"Architects Instructions"}</definedName>
    <definedName function="false" hidden="true" localSheetId="18" name="wrn.AllEngine." vbProcedure="false">{"FullPL",#N/A,TRUE,"Engine";"PubRestPL",#N/A,TRUE,"Engine";"FunFactoryPL",#N/A,TRUE,"Engine";"TravelInnPL",#N/A,TRUE,"Engine";"LabourCalculation",#N/A,TRUE,"Engine";"CashFlow",#N/A,TRUE,"Engine";"Depreciation",#N/A,TRUE,"Engine";"CapitalAllowances",#N/A,TRUE,"Engine"}</definedName>
    <definedName function="false" hidden="true" localSheetId="18" name="wrn.BRS._.and._.DCS._.only." vbProcedure="false">{#N/A,#N/A,TRUE,"Details";#N/A,#N/A,TRUE,"BRS";#N/A,#N/A,TRUE,"DCS"}</definedName>
    <definedName function="false" hidden="true" localSheetId="18" name="wrn.BRS._.Only." vbProcedure="false">{#N/A,#N/A,FALSE,"Details";#N/A,#N/A,FALSE,"BRS"}</definedName>
    <definedName function="false" hidden="true" localSheetId="18" name="wrn.DCS._.only." vbProcedure="false">{#N/A,#N/A,FALSE,"DCS"}</definedName>
    <definedName function="false" hidden="true" localSheetId="18" name="wrn.FINAL._.ACCOUNT." vbProcedure="false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function="false" hidden="true" localSheetId="18" name="wrn.Final._.Valuation." vbProcedure="false">{"Valuation",#N/A,FALSE,"VALUATION";"Practical Completion",#N/A,FALSE,"RETENTION STATEMENT";"Progress Chart",#N/A,FALSE,"PROGRESS GRAPH"}</definedName>
    <definedName function="false" hidden="true" localSheetId="18" name="wrn.FINANCIAL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function="false" hidden="true" localSheetId="18" name="wrn.Full._.Budget._.Print." vbProcedure="false">{#N/A,#N/A,TRUE,"Details";#N/A,#N/A,TRUE,"BRS";#N/A,#N/A,TRUE,"DCS";#N/A,#N/A,TRUE,"Summary";#N/A,#N/A,TRUE,"Shell";#N/A,#N/A,TRUE,"Car Park";#N/A,#N/A,TRUE,"Elevations";#N/A,#N/A,TRUE,"Bar  Rest";#N/A,#N/A,TRUE,"WC's";#N/A,#N/A,TRUE,"Service";#N/A,#N/A,TRUE,"Kirchen";#N/A,#N/A,TRUE,"Collection"}</definedName>
    <definedName function="false" hidden="true" localSheetId="18" name="wrn.Glamorgan._.monthly." vbProcedure="false">{#N/A,#N/A,FALSE,"Cover";#N/A,#N/A,FALSE,"Contents";#N/A,#N/A,FALSE,"Key Data";#N/A,#N/A,FALSE,"Anticipated";#N/A,#N/A,FALSE,"Cashflow";#N/A,#N/A,FALSE,"Change Notes"}</definedName>
    <definedName function="false" hidden="true" localSheetId="18" name="wrn.Interim._.Valuation." vbProcedure="false">{"Valuation",#N/A,FALSE,"VALUATION";"Standard",#N/A,FALSE,"RETENTION STATEMENT";"Progress Chart",#N/A,FALSE,"PROGRESS GRAPH"}</definedName>
    <definedName function="false" hidden="true" localSheetId="18" name="wrn.khk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khk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Monthly._.Report." vbProcedure="false">{#N/A,#N/A,FALSE,"Cover";#N/A,#N/A,FALSE,"Contents";#N/A,#N/A,FALSE,"Key Data";#N/A,#N/A,FALSE,"Cashflow";#N/A,#N/A,FALSE,"Change Notes"}</definedName>
    <definedName function="false" hidden="true" localSheetId="18" name="wrn.PLsandCashFlow." vbProcedure="false">{"FullPL",#N/A,TRUE,"Engine";"PubRestPL",#N/A,TRUE,"Engine";"FunFactoryPL",#N/A,TRUE,"Engine";"TravelInnPL",#N/A,TRUE,"Engine";"CashFlow",#N/A,TRUE,"Engine"}</definedName>
    <definedName function="false" hidden="true" localSheetId="18" name="wrn.PROGRESS._.VALUATION." vbProcedure="false">{#N/A,#N/A,TRUE,"VALUATION";#N/A,#N/A,TRUE,"VALUATION DETAILS";#N/A,#N/A,TRUE,"PAID TO DATE"}</definedName>
    <definedName function="false" hidden="true" localSheetId="18" name="wrn.re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1.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rep50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REP502.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3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3.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4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REP50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0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REP50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1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REP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12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6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wrn.REP58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950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5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p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Y848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REY849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try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rn.VALUATION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localSheetId="18" name="wt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wwwwwwwwwwwwwwww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xxx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xxxxxxx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xxxxxxxxxxxxxxxxxxxxxxxx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xxx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yy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yy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yy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yyyyyyyyyyyyyyyyyyyyyyyyyyyyyyyyyyyy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yyyyyyyyyyyyyyyyyyyyyyyyyyyyyyyyyyyy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zzz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zzzzzzzzzzzzzzzzzzzz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zzzzzzzzzzzzzzz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Fill" vbProcedure="false">#REF!</definedName>
    <definedName function="false" hidden="true" localSheetId="18" name="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Key1" vbProcedure="false">#REF!</definedName>
    <definedName function="false" hidden="true" localSheetId="18" name="_Key2" vbProcedure="false">#REF!</definedName>
    <definedName function="false" hidden="true" localSheetId="18" name="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Sort" vbProcedure="false">#REF!</definedName>
    <definedName function="false" hidden="true" localSheetId="18" name="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false" localSheetId="18" name="_xlnm.Print_Titles" vbProcedure="false">'3.1 Wall Finishes'!$1:$5,'3.1 Wall Finishes'!$A:$B</definedName>
    <definedName function="false" hidden="true" localSheetId="18" name="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123Graph_A" vbProcedure="false">#REF!</definedName>
    <definedName function="false" hidden="true" localSheetId="18" name="__123Graph_APETER" vbProcedure="false">#REF!</definedName>
    <definedName function="false" hidden="true" localSheetId="18" name="__123Graph_LBL_A" vbProcedure="false">#REF!</definedName>
    <definedName function="false" hidden="true" localSheetId="18" name="__123Graph_X" vbProcedure="false">#REF!</definedName>
    <definedName function="false" hidden="true" localSheetId="18" name="__123Graph_XPETER" vbProcedure="false">#REF!</definedName>
    <definedName function="false" hidden="true" localSheetId="18" name="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8" name="_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8" name="_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a" vbProcedure="false">{"A.I.s",#N/A,TRUE,"Architects Instructions"}</definedName>
    <definedName function="false" hidden="true" localSheetId="19" name="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aaaaaaaaaaaaaaaaaaaaaaaaaaaaaaaa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aaaaaaaaaaaaaaaaaaaaaaaaaaaaaaaaaa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AAA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aa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ab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Ant" vbProcedure="false">{"A.I.s",#N/A,TRUE,"Architects Instructions"}</definedName>
    <definedName function="false" hidden="true" localSheetId="19" name="ARA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bbb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bbbbbbbbbbbbbbbbbbbbbbbbbbbbbbbbb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bbnnmj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bvbbb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bcbcbcb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bgbgfgfgf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ccccccccccccccccccccccccc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ccccccccccccccccccccccccccc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cccccccccccccccccccccccccccccccccccccccccccc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ccxcc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cdhdfhfhfh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cvvvb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dd" vbProcedure="false">{"A.I.s",#N/A,TRUE,"Architects Instructions"}</definedName>
    <definedName function="false" hidden="true" localSheetId="19" name="dddd" vbProcedure="false">{"A.I.s",#N/A,TRUE,"Architects Instructions"}</definedName>
    <definedName function="false" hidden="true" localSheetId="19" name="dddddddddddddddddddddddddddddddddd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dd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df" vbProcedure="false">{#N/A,#N/A,TRUE,"PROGRESS VALUATION";#N/A,#N/A,TRUE,"PROVISIONAL SUMS";#N/A,#N/A,TRUE,"VARIATIONS";#N/A,#N/A,TRUE,"INTERIM PAYMENTS"}</definedName>
    <definedName function="false" hidden="true" localSheetId="19" name="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eeeee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EE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E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rtr6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u.070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u.07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u.07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EWREWE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dfhhhhhhhhhhhhh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egeg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egeg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ff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fhy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f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ff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ftt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gggggggggggggggggggggggggggggg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ggggggggggggggggggggggggggggggggg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hh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hhg.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ghhg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hoo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ghoo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h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hf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hghgjgjg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hg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hh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huh" vbProcedure="false">{"A.I.s",#N/A,TRUE,"Architects Instructions"}</definedName>
    <definedName function="false" hidden="true" localSheetId="19" name="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iii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gjg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jjjj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jjjjjjjjjjjjjjjjjjjjjjj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jjjjjjjjjjjjjjjjjjjjjjjjjjjjjjjjjjj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j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kgkgjk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jtjt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l" vbProcedure="false">{"Valuation",#N/A,FALSE,"VALUATION";"Standard",#N/A,FALSE,"RETENTION STATEMENT";"Progress Chart",#N/A,FALSE,"PROGRESS GRAPH"}</definedName>
    <definedName function="false" hidden="true" localSheetId="19" name="ll" vbProcedure="false">{"A.I.s",#N/A,TRUE,"Architects Instructions"}</definedName>
    <definedName function="false" hidden="true" localSheetId="19" name="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mmmiii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mmmmmmmmmmmmmmmmmmmmmm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mmmmmmmmmmmmmmmmmmmmmmmmmmmm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nbmb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nnmui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nnnnnnn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ooooooo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oo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podium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podium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pppppp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ppppppppppppppppppppppppppppppppppp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Prov" vbProcedure="false">{"A.I.s",#N/A,TRUE,"Architects Instructions"}</definedName>
    <definedName function="false" hidden="true" localSheetId="19" name="qqqqqq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qqqqqqqqqqqqqqqqqqqqqqqqqqqqqqqqqqqqqqqqq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qq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econ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recon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recon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rem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eview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r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riri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rrrrrrrrrrrrrrrrrrrrrrrrrrrrrrrrrrrrrrrrrr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r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rt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t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RT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try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ttry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rtytr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dd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ss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sssssss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ssssssssssssss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sss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suuu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ss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s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summary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Trialsummary" vbProcedure="false">{"A.I.s",#N/A,TRUE,"Architects Instructions"}</definedName>
    <definedName function="false" hidden="true" localSheetId="19" name="trrrr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TTJJ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ttrr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tttttttttttttttttttttttttttttttttttttttttt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gftugfnh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tuit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utt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uuj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uuuuuuuuuuuuuuuuuuuuuuuuuuuuuuuuuuu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uuyyhh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val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localSheetId="19" name="vfhjigfhjgfhjgf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vgfggh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vvvvvvvvvvvvvvvv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vvvvvvvvvvvvvvvvvvvvvvvvvvvvvvvvvv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b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buuu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efrr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m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313VAL7.XLS." vbProcedure="false">{#N/A,#N/A,TRUE,"PROGRESS VALUATION";#N/A,#N/A,TRUE,"PROVISIONAL SUMS";#N/A,#N/A,TRUE,"VARIATIONS";#N/A,#N/A,TRUE,"INTERIM PAYMENTS"}</definedName>
    <definedName function="false" hidden="true" localSheetId="19" name="wrn.313VAL8.XLS." vbProcedure="false">{#N/A,#N/A,TRUE,"PROGRESS VALUATION";#N/A,#N/A,TRUE,"PROVISIONAL SUMS";#N/A,#N/A,TRUE,"VARIATIONS";#N/A,#N/A,TRUE,"INTERIM PAYMENTS"}</definedName>
    <definedName function="false" hidden="true" localSheetId="19" name="wrn.502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A.I.s." vbProcedure="false">{"A.I.s",#N/A,TRUE,"Architects Instructions"}</definedName>
    <definedName function="false" hidden="true" localSheetId="19" name="wrn.AllEngine." vbProcedure="false">{"FullPL",#N/A,TRUE,"Engine";"PubRestPL",#N/A,TRUE,"Engine";"FunFactoryPL",#N/A,TRUE,"Engine";"TravelInnPL",#N/A,TRUE,"Engine";"LabourCalculation",#N/A,TRUE,"Engine";"CashFlow",#N/A,TRUE,"Engine";"Depreciation",#N/A,TRUE,"Engine";"CapitalAllowances",#N/A,TRUE,"Engine"}</definedName>
    <definedName function="false" hidden="true" localSheetId="19" name="wrn.BRS._.and._.DCS._.only." vbProcedure="false">{#N/A,#N/A,TRUE,"Details";#N/A,#N/A,TRUE,"BRS";#N/A,#N/A,TRUE,"DCS"}</definedName>
    <definedName function="false" hidden="true" localSheetId="19" name="wrn.BRS._.Only." vbProcedure="false">{#N/A,#N/A,FALSE,"Details";#N/A,#N/A,FALSE,"BRS"}</definedName>
    <definedName function="false" hidden="true" localSheetId="19" name="wrn.DCS._.only." vbProcedure="false">{#N/A,#N/A,FALSE,"DCS"}</definedName>
    <definedName function="false" hidden="true" localSheetId="19" name="wrn.FINAL._.ACCOUNT." vbProcedure="false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function="false" hidden="true" localSheetId="19" name="wrn.Final._.Valuation." vbProcedure="false">{"Valuation",#N/A,FALSE,"VALUATION";"Practical Completion",#N/A,FALSE,"RETENTION STATEMENT";"Progress Chart",#N/A,FALSE,"PROGRESS GRAPH"}</definedName>
    <definedName function="false" hidden="true" localSheetId="19" name="wrn.FINANCIAL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function="false" hidden="true" localSheetId="19" name="wrn.Full._.Budget._.Print." vbProcedure="false">{#N/A,#N/A,TRUE,"Details";#N/A,#N/A,TRUE,"BRS";#N/A,#N/A,TRUE,"DCS";#N/A,#N/A,TRUE,"Summary";#N/A,#N/A,TRUE,"Shell";#N/A,#N/A,TRUE,"Car Park";#N/A,#N/A,TRUE,"Elevations";#N/A,#N/A,TRUE,"Bar  Rest";#N/A,#N/A,TRUE,"WC's";#N/A,#N/A,TRUE,"Service";#N/A,#N/A,TRUE,"Kirchen";#N/A,#N/A,TRUE,"Collection"}</definedName>
    <definedName function="false" hidden="true" localSheetId="19" name="wrn.Glamorgan._.monthly." vbProcedure="false">{#N/A,#N/A,FALSE,"Cover";#N/A,#N/A,FALSE,"Contents";#N/A,#N/A,FALSE,"Key Data";#N/A,#N/A,FALSE,"Anticipated";#N/A,#N/A,FALSE,"Cashflow";#N/A,#N/A,FALSE,"Change Notes"}</definedName>
    <definedName function="false" hidden="true" localSheetId="19" name="wrn.Interim._.Valuation." vbProcedure="false">{"Valuation",#N/A,FALSE,"VALUATION";"Standard",#N/A,FALSE,"RETENTION STATEMENT";"Progress Chart",#N/A,FALSE,"PROGRESS GRAPH"}</definedName>
    <definedName function="false" hidden="true" localSheetId="19" name="wrn.khkh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khkh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Monthly._.Report." vbProcedure="false">{#N/A,#N/A,FALSE,"Cover";#N/A,#N/A,FALSE,"Contents";#N/A,#N/A,FALSE,"Key Data";#N/A,#N/A,FALSE,"Cashflow";#N/A,#N/A,FALSE,"Change Notes"}</definedName>
    <definedName function="false" hidden="true" localSheetId="19" name="wrn.PLsandCashFlow." vbProcedure="false">{"FullPL",#N/A,TRUE,"Engine";"PubRestPL",#N/A,TRUE,"Engine";"FunFactoryPL",#N/A,TRUE,"Engine";"TravelInnPL",#N/A,TRUE,"Engine";"CashFlow",#N/A,TRUE,"Engine"}</definedName>
    <definedName function="false" hidden="true" localSheetId="19" name="wrn.PROGRESS._.VALUATION." vbProcedure="false">{#N/A,#N/A,TRUE,"VALUATION";#N/A,#N/A,TRUE,"VALUATION DETAILS";#N/A,#N/A,TRUE,"PAID TO DATE"}</definedName>
    <definedName function="false" hidden="true" localSheetId="19" name="wrn.rep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1.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rep502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REP502.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3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3.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4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REP50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0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REP50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1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REP51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12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5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6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wrn.REP58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950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5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6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ps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q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Y848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REY8490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tryv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rn.VALUATION._.REPORT." vbProcedure="false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function="false" hidden="true" localSheetId="19" name="wt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ww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wwwwwwwwwwwwwwwww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xxx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xxxxxxx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xxxxxxxxxxxxxxxxxxxxxxxxxxxxxxxxxxx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xxxxxxxxxxxxxxxxxxxxxxxxxxxxxxxxxxxx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yyg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yyh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yyj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yyyyyyyyyyyyyyyyyyyyyyyyyyyyyyyyyyyy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yyyyyyyyyyyyyyyyyyyyyyyyyyyyyyyyyyyyyyyyyy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zzzuuu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zzzzzzzzzzzzzzzzzzzz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zzzzzzzzzzzzzzzzzzzzzzzzzzzzzzzzzzzzzzzzzzz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Fill" vbProcedure="false">#REF!</definedName>
    <definedName function="false" hidden="true" localSheetId="19" name="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Key1" vbProcedure="false">#REF!</definedName>
    <definedName function="false" hidden="true" localSheetId="19" name="_Key2" vbProcedure="false">#REF!</definedName>
    <definedName function="false" hidden="true" localSheetId="19" name="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Sort" vbProcedure="false">#REF!</definedName>
    <definedName function="false" hidden="true" localSheetId="19" name="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123Graph_A" vbProcedure="false">#REF!</definedName>
    <definedName function="false" hidden="true" localSheetId="19" name="__123Graph_APETER" vbProcedure="false">#REF!</definedName>
    <definedName function="false" hidden="true" localSheetId="19" name="__123Graph_LBL_A" vbProcedure="false">#REF!</definedName>
    <definedName function="false" hidden="true" localSheetId="19" name="__123Graph_X" vbProcedure="false">#REF!</definedName>
    <definedName function="false" hidden="true" localSheetId="19" name="__123Graph_XPETER" vbProcedure="false">#REF!</definedName>
    <definedName function="false" hidden="true" localSheetId="19" name="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aaa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bvb7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bvg6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e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e4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ee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eee1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f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gg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ggj6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ggj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ggu76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hf1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hh7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jj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kk9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mm990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mmm999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n87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nhu8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function="false" hidden="true" localSheetId="19" name="___nn88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rep502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rep503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rr5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rr55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rrr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tyy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ujn78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uu88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vb7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vbv99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vv444" vbProcedure="false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wbu1" vbProcedure="false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function="false" hidden="true" localSheetId="19" name="___yu77" vbProcedure="false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<sst xmlns="http://schemas.openxmlformats.org/spreadsheetml/2006/main" count="12583" uniqueCount="1129">
  <si>
    <t xml:space="preserve">measuredWorksTotal</t>
  </si>
  <si>
    <t xml:space="preserve">buildingWorksEstimate</t>
  </si>
  <si>
    <t xml:space="preserve">totalInclRisk</t>
  </si>
  <si>
    <t xml:space="preserve">totalInclInflation</t>
  </si>
  <si>
    <t xml:space="preserve">totalInclAdjustments</t>
  </si>
  <si>
    <t xml:space="preserve">grandTotal</t>
  </si>
  <si>
    <t xml:space="preserve">SPEC LEVEL</t>
  </si>
  <si>
    <t xml:space="preserve">BCIS Q DATE</t>
  </si>
  <si>
    <t xml:space="preserve">SECTOR</t>
  </si>
  <si>
    <t xml:space="preserve">REGION</t>
  </si>
  <si>
    <t xml:space="preserve">COST STAGE</t>
  </si>
  <si>
    <t xml:space="preserve">Complexity Rating</t>
  </si>
  <si>
    <t xml:space="preserve">SITE TYPE</t>
  </si>
  <si>
    <t xml:space="preserve">Low</t>
  </si>
  <si>
    <t xml:space="preserve">Q1</t>
  </si>
  <si>
    <t xml:space="preserve">Residential</t>
  </si>
  <si>
    <t xml:space="preserve">London</t>
  </si>
  <si>
    <t xml:space="preserve">Cost plan</t>
  </si>
  <si>
    <t xml:space="preserve">Yes</t>
  </si>
  <si>
    <t xml:space="preserve">Brownfield</t>
  </si>
  <si>
    <t xml:space="preserve">Medium</t>
  </si>
  <si>
    <t xml:space="preserve">Q2</t>
  </si>
  <si>
    <t xml:space="preserve">Student Accommodation</t>
  </si>
  <si>
    <t xml:space="preserve">South East</t>
  </si>
  <si>
    <t xml:space="preserve">Tender</t>
  </si>
  <si>
    <t xml:space="preserve">No</t>
  </si>
  <si>
    <t xml:space="preserve">Greenfield</t>
  </si>
  <si>
    <t xml:space="preserve">High</t>
  </si>
  <si>
    <t xml:space="preserve">Q3</t>
  </si>
  <si>
    <t xml:space="preserve">Care Homes</t>
  </si>
  <si>
    <t xml:space="preserve">South West</t>
  </si>
  <si>
    <t xml:space="preserve">Contract Sum</t>
  </si>
  <si>
    <t xml:space="preserve">COMPLEXITY RATING</t>
  </si>
  <si>
    <t xml:space="preserve">Q4</t>
  </si>
  <si>
    <t xml:space="preserve">Offices</t>
  </si>
  <si>
    <t xml:space="preserve">East of England</t>
  </si>
  <si>
    <t xml:space="preserve">Final Account</t>
  </si>
  <si>
    <t xml:space="preserve">Retail</t>
  </si>
  <si>
    <t xml:space="preserve">East Midlands</t>
  </si>
  <si>
    <t xml:space="preserve">Hotels</t>
  </si>
  <si>
    <t xml:space="preserve">West Midlands</t>
  </si>
  <si>
    <t xml:space="preserve">Leisure Facilities</t>
  </si>
  <si>
    <t xml:space="preserve">North West</t>
  </si>
  <si>
    <t xml:space="preserve">Warehouses</t>
  </si>
  <si>
    <t xml:space="preserve">North East</t>
  </si>
  <si>
    <t xml:space="preserve">Civils</t>
  </si>
  <si>
    <t xml:space="preserve">Yorkshire and the Humber</t>
  </si>
  <si>
    <t xml:space="preserve">USD</t>
  </si>
  <si>
    <t xml:space="preserve">Schools</t>
  </si>
  <si>
    <t xml:space="preserve">Scotland</t>
  </si>
  <si>
    <t xml:space="preserve">GBP</t>
  </si>
  <si>
    <t xml:space="preserve">Universities</t>
  </si>
  <si>
    <t xml:space="preserve">Wales</t>
  </si>
  <si>
    <t xml:space="preserve">EURO</t>
  </si>
  <si>
    <t xml:space="preserve">Hospitals</t>
  </si>
  <si>
    <t xml:space="preserve">Northern Ireland</t>
  </si>
  <si>
    <t xml:space="preserve">Medical Centres</t>
  </si>
  <si>
    <t xml:space="preserve">Laboratories</t>
  </si>
  <si>
    <t xml:space="preserve">Heritage</t>
  </si>
  <si>
    <t xml:space="preserve">Data Centres</t>
  </si>
  <si>
    <t xml:space="preserve">Key Data</t>
  </si>
  <si>
    <t xml:space="preserve">Project Name *</t>
  </si>
  <si>
    <t xml:space="preserve">Elm Court Residential</t>
  </si>
  <si>
    <t xml:space="preserve">Project Number *</t>
  </si>
  <si>
    <t xml:space="preserve">DEMO-2026-001</t>
  </si>
  <si>
    <t xml:space="preserve">Report date *</t>
  </si>
  <si>
    <t xml:space="preserve">Base Date *</t>
  </si>
  <si>
    <t xml:space="preserve">BCIS Q Date *</t>
  </si>
  <si>
    <t xml:space="preserve">Sector *</t>
  </si>
  <si>
    <t xml:space="preserve">Location *</t>
  </si>
  <si>
    <t xml:space="preserve">Currency *</t>
  </si>
  <si>
    <t xml:space="preserve">Programme (weeks) </t>
  </si>
  <si>
    <t xml:space="preserve">Project Type - New Build *</t>
  </si>
  <si>
    <t xml:space="preserve">Project Type - Horizontal extension*</t>
  </si>
  <si>
    <t xml:space="preserve">Project Type - Vertical extension*</t>
  </si>
  <si>
    <t xml:space="preserve">Project Type - Refurbishment*</t>
  </si>
  <si>
    <t xml:space="preserve">Spec Level</t>
  </si>
  <si>
    <t xml:space="preserve">Cost Stage*</t>
  </si>
  <si>
    <t xml:space="preserve">Inflation adjusted*</t>
  </si>
  <si>
    <t xml:space="preserve">Region adjusted*</t>
  </si>
  <si>
    <t xml:space="preserve">Prelims included?*</t>
  </si>
  <si>
    <t xml:space="preserve">Prof fees included?*</t>
  </si>
  <si>
    <t xml:space="preserve">Site Type*</t>
  </si>
  <si>
    <t xml:space="preserve">Access Constraints</t>
  </si>
  <si>
    <t xml:space="preserve">Restricted site access via single road frontage</t>
  </si>
  <si>
    <t xml:space="preserve">Nr of Storeys *</t>
  </si>
  <si>
    <t xml:space="preserve">Basement *</t>
  </si>
  <si>
    <t xml:space="preserve">Occupied? *</t>
  </si>
  <si>
    <t xml:space="preserve">Costplan Document </t>
  </si>
  <si>
    <t xml:space="preserve">Reference for Costplan Budget Document *</t>
  </si>
  <si>
    <t xml:space="preserve">Sample Cost Plan - Elm Court Residential, Rev 01</t>
  </si>
  <si>
    <t xml:space="preserve">Costplan document to include date and revision.</t>
  </si>
  <si>
    <t xml:space="preserve">Tendering Contractors</t>
  </si>
  <si>
    <t xml:space="preserve">Contractor 1 (SELECTED CONTRACTOR) *</t>
  </si>
  <si>
    <t xml:space="preserve">Ridgeway Construction</t>
  </si>
  <si>
    <t xml:space="preserve">Contractor 2</t>
  </si>
  <si>
    <t xml:space="preserve">Brightstone Builders</t>
  </si>
  <si>
    <t xml:space="preserve">Contractor 3</t>
  </si>
  <si>
    <t xml:space="preserve">Kestrel Contractors</t>
  </si>
  <si>
    <t xml:space="preserve">Contractor 4</t>
  </si>
  <si>
    <t xml:space="preserve">INSERT CONTRACTOR 4</t>
  </si>
  <si>
    <t xml:space="preserve">Contractor 5</t>
  </si>
  <si>
    <t xml:space="preserve">INSERT CONTRACTOR 5</t>
  </si>
  <si>
    <t xml:space="preserve">Contractor 6</t>
  </si>
  <si>
    <t xml:space="preserve">INSERT CONTRACTOR 6</t>
  </si>
  <si>
    <t xml:space="preserve">Contractor 7</t>
  </si>
  <si>
    <t xml:space="preserve">INSERT CONTRACTOR 7</t>
  </si>
  <si>
    <t xml:space="preserve">Benchmark Projects</t>
  </si>
  <si>
    <t xml:space="preserve">Benchmark 1 </t>
  </si>
  <si>
    <t xml:space="preserve">INSERT BENCHMARK NAME</t>
  </si>
  <si>
    <t xml:space="preserve">Benchmark 2</t>
  </si>
  <si>
    <t xml:space="preserve">Name</t>
  </si>
  <si>
    <t xml:space="preserve">Qty</t>
  </si>
  <si>
    <t xml:space="preserve">Unit</t>
  </si>
  <si>
    <t xml:space="preserve">Comments</t>
  </si>
  <si>
    <t xml:space="preserve">GIFA *</t>
  </si>
  <si>
    <t xml:space="preserve">m2</t>
  </si>
  <si>
    <t xml:space="preserve">flats</t>
  </si>
  <si>
    <t xml:space="preserve">nr</t>
  </si>
  <si>
    <t xml:space="preserve">houses</t>
  </si>
  <si>
    <t xml:space="preserve">total plots</t>
  </si>
  <si>
    <t xml:space="preserve">Keys</t>
  </si>
  <si>
    <t xml:space="preserve">FoH Area</t>
  </si>
  <si>
    <t xml:space="preserve">BoH Area</t>
  </si>
  <si>
    <t xml:space="preserve">Code</t>
  </si>
  <si>
    <t xml:space="preserve">Element</t>
  </si>
  <si>
    <t xml:space="preserve">Qty </t>
  </si>
  <si>
    <t xml:space="preserve">Demolition and alterations</t>
  </si>
  <si>
    <t xml:space="preserve">GIFA of buildings to be demolished</t>
  </si>
  <si>
    <t xml:space="preserve">Groundworks (cut and fill)</t>
  </si>
  <si>
    <t xml:space="preserve">Site Area</t>
  </si>
  <si>
    <t xml:space="preserve">Ground Remediation Works</t>
  </si>
  <si>
    <t xml:space="preserve">Substructure</t>
  </si>
  <si>
    <t xml:space="preserve">Frame</t>
  </si>
  <si>
    <t xml:space="preserve">Upper Floors</t>
  </si>
  <si>
    <t xml:space="preserve">Roof</t>
  </si>
  <si>
    <t xml:space="preserve">Stairs and Ramps</t>
  </si>
  <si>
    <t xml:space="preserve">no</t>
  </si>
  <si>
    <t xml:space="preserve">External Walls</t>
  </si>
  <si>
    <t xml:space="preserve">Windows &amp; External Doors</t>
  </si>
  <si>
    <t xml:space="preserve">Internal Walls and Partitions</t>
  </si>
  <si>
    <t xml:space="preserve">Internal Doors</t>
  </si>
  <si>
    <t xml:space="preserve">no/leaf</t>
  </si>
  <si>
    <t xml:space="preserve">Wall finishes</t>
  </si>
  <si>
    <t xml:space="preserve">Floor finishes</t>
  </si>
  <si>
    <t xml:space="preserve">Ceiling finishes</t>
  </si>
  <si>
    <t xml:space="preserve">Fittings Furnishings and Equipment</t>
  </si>
  <si>
    <t xml:space="preserve">Sanitary installations</t>
  </si>
  <si>
    <t xml:space="preserve">Services Equipment</t>
  </si>
  <si>
    <t xml:space="preserve">Electrical Installations</t>
  </si>
  <si>
    <t xml:space="preserve">Mechanical Installations</t>
  </si>
  <si>
    <t xml:space="preserve">Lift and conveyor installations</t>
  </si>
  <si>
    <t xml:space="preserve">Fire and lightning protection</t>
  </si>
  <si>
    <t xml:space="preserve">Communication, security and control systems</t>
  </si>
  <si>
    <t xml:space="preserve">Specialist installations </t>
  </si>
  <si>
    <t xml:space="preserve">BWIC with services </t>
  </si>
  <si>
    <t xml:space="preserve">Testing and commissioning of services</t>
  </si>
  <si>
    <t xml:space="preserve">Prefabricated buildings and building units</t>
  </si>
  <si>
    <t xml:space="preserve">Minor demolition and alteration works</t>
  </si>
  <si>
    <t xml:space="preserve">repairs to existing services</t>
  </si>
  <si>
    <t xml:space="preserve">Damp proof courses / fungus and beetle eradication</t>
  </si>
  <si>
    <t xml:space="preserve">Façade retention</t>
  </si>
  <si>
    <t xml:space="preserve">Cleaning existing surfaces</t>
  </si>
  <si>
    <t xml:space="preserve">Renovation works</t>
  </si>
  <si>
    <t xml:space="preserve">Site preparation works</t>
  </si>
  <si>
    <t xml:space="preserve">Roads, paths, pavings and surfacings</t>
  </si>
  <si>
    <t xml:space="preserve">Soft landscapes, planting and irrigation systems</t>
  </si>
  <si>
    <t xml:space="preserve">Fencing, railings and walls</t>
  </si>
  <si>
    <t xml:space="preserve">External fixtures</t>
  </si>
  <si>
    <t xml:space="preserve">External drainage</t>
  </si>
  <si>
    <t xml:space="preserve">External services</t>
  </si>
  <si>
    <t xml:space="preserve">Minor building works and anciliary builidngs</t>
  </si>
  <si>
    <t xml:space="preserve">Average Tender</t>
  </si>
  <si>
    <t xml:space="preserve">Limit 1</t>
  </si>
  <si>
    <t xml:space="preserve">Limit 2</t>
  </si>
  <si>
    <t xml:space="preserve">EUQ</t>
  </si>
  <si>
    <t xml:space="preserve">EUR</t>
  </si>
  <si>
    <t xml:space="preserve">Total</t>
  </si>
  <si>
    <t xml:space="preserve">Lower bound</t>
  </si>
  <si>
    <t xml:space="preserve">Upper Bound</t>
  </si>
  <si>
    <t xml:space="preserve">Facilitating Works</t>
  </si>
  <si>
    <t xml:space="preserve">Superstructure</t>
  </si>
  <si>
    <t xml:space="preserve">Upper floors</t>
  </si>
  <si>
    <t xml:space="preserve">External walls</t>
  </si>
  <si>
    <t xml:space="preserve">Windows &amp; external Doors</t>
  </si>
  <si>
    <t xml:space="preserve">Internal Finishes</t>
  </si>
  <si>
    <t xml:space="preserve">Fittings, Furnishings &amp; Equipment</t>
  </si>
  <si>
    <t xml:space="preserve">Fittings, furnishings and equipment</t>
  </si>
  <si>
    <t xml:space="preserve">Services</t>
  </si>
  <si>
    <t xml:space="preserve">Services equipment</t>
  </si>
  <si>
    <t xml:space="preserve">Work to existing buildings</t>
  </si>
  <si>
    <t xml:space="preserve">External Works</t>
  </si>
  <si>
    <t xml:space="preserve">SUB-TOTAL: MEASURED WORKS</t>
  </si>
  <si>
    <t xml:space="preserve">Main contractor's preliminaries</t>
  </si>
  <si>
    <t xml:space="preserve">Main contractor's overheads &amp; profit</t>
  </si>
  <si>
    <t xml:space="preserve">SUB-TOTAL: BUILDING WORKS ESTIMATE</t>
  </si>
  <si>
    <t xml:space="preserve">Project / design team fees</t>
  </si>
  <si>
    <t xml:space="preserve">Consultant fees</t>
  </si>
  <si>
    <t xml:space="preserve">Main contrator's pre-construction fees</t>
  </si>
  <si>
    <t xml:space="preserve">Main contrator's design fees</t>
  </si>
  <si>
    <t xml:space="preserve">Other development costs</t>
  </si>
  <si>
    <t xml:space="preserve">Excluded from Comparison</t>
  </si>
  <si>
    <t xml:space="preserve">Risks</t>
  </si>
  <si>
    <t xml:space="preserve">Design development risks</t>
  </si>
  <si>
    <t xml:space="preserve">Construction risks</t>
  </si>
  <si>
    <t xml:space="preserve">Excluded</t>
  </si>
  <si>
    <t xml:space="preserve">BUILDING WORKS ESTIMATE Including Risk</t>
  </si>
  <si>
    <t xml:space="preserve">Inflation</t>
  </si>
  <si>
    <t xml:space="preserve">Tender Inflation</t>
  </si>
  <si>
    <t xml:space="preserve">item</t>
  </si>
  <si>
    <t xml:space="preserve">Construction inflation</t>
  </si>
  <si>
    <t xml:space="preserve">BUILDING WORKS ESTIMATE Including Inflation &amp; Risk</t>
  </si>
  <si>
    <t xml:space="preserve">Adjustments and Equalisations</t>
  </si>
  <si>
    <t xml:space="preserve">Adjustments</t>
  </si>
  <si>
    <t xml:space="preserve">Equalisations</t>
  </si>
  <si>
    <t xml:space="preserve">TOTAL: TENDER SUM - Final Adjusted</t>
  </si>
  <si>
    <t xml:space="preserve">`</t>
  </si>
  <si>
    <t xml:space="preserve">VARIANCE FROM COSTPLAN</t>
  </si>
  <si>
    <t xml:space="preserve">Rate</t>
  </si>
  <si>
    <t xml:space="preserve">Party wall works allowance</t>
  </si>
  <si>
    <t xml:space="preserve">Adjustment 2</t>
  </si>
  <si>
    <t xml:space="preserve">Adjustment 3</t>
  </si>
  <si>
    <t xml:space="preserve">Adjustment 4</t>
  </si>
  <si>
    <t xml:space="preserve">Adjustment 1</t>
  </si>
  <si>
    <t xml:space="preserve">Any other works (contractor to specify)</t>
  </si>
  <si>
    <t xml:space="preserve">…………………………………………….</t>
  </si>
  <si>
    <t xml:space="preserve">Item</t>
  </si>
  <si>
    <t xml:space="preserve">Project 01 - Breakdown</t>
  </si>
  <si>
    <t xml:space="preserve">Order of Cost Estimate - Rev 00</t>
  </si>
  <si>
    <t xml:space="preserve">Allowance for structural modifications to Glulam beams</t>
  </si>
  <si>
    <t xml:space="preserve">Extra over for varnishing</t>
  </si>
  <si>
    <t xml:space="preserve">Return to ELEMENT INDEX</t>
  </si>
  <si>
    <t xml:space="preserve">Return to SUMMARY</t>
  </si>
  <si>
    <t xml:space="preserve">Site Clearance</t>
  </si>
  <si>
    <t xml:space="preserve">Asbestos Removal</t>
  </si>
  <si>
    <t xml:space="preserve">Soft Strip out of the existing building</t>
  </si>
  <si>
    <t xml:space="preserve">Allowance for proping</t>
  </si>
  <si>
    <t xml:space="preserve">Allowance for temporary diversion works</t>
  </si>
  <si>
    <t xml:space="preserve">Allowance for site investigation works</t>
  </si>
  <si>
    <t xml:space="preserve">Isolation of services</t>
  </si>
  <si>
    <t xml:space="preserve">Removal of suspended ceilings</t>
  </si>
  <si>
    <t xml:space="preserve">item/m2</t>
  </si>
  <si>
    <t xml:space="preserve">Removal of floor finishes</t>
  </si>
  <si>
    <t xml:space="preserve">Removal of wall finishes</t>
  </si>
  <si>
    <t xml:space="preserve">Removal of internal doors</t>
  </si>
  <si>
    <t xml:space="preserve">Removal of ironmongery</t>
  </si>
  <si>
    <t xml:space="preserve">Removal of fixed fittings</t>
  </si>
  <si>
    <t xml:space="preserve">Removal of sanitaryware</t>
  </si>
  <si>
    <t xml:space="preserve">Removal of kitchen units</t>
  </si>
  <si>
    <t xml:space="preserve">Removal of light fittings</t>
  </si>
  <si>
    <t xml:space="preserve">Removal of ductwork</t>
  </si>
  <si>
    <t xml:space="preserve">Removal of pipework</t>
  </si>
  <si>
    <t xml:space="preserve">Demolition of roof structures</t>
  </si>
  <si>
    <t xml:space="preserve">Demolition of floors</t>
  </si>
  <si>
    <t xml:space="preserve">Piling mats/platforms: thickness of mat/platform assumed 400mm</t>
  </si>
  <si>
    <t xml:space="preserve">Allowance for piling plant; including mobilization and demobilization</t>
  </si>
  <si>
    <t xml:space="preserve">Piles: assumed bored, 450mm dia,  including integrity testing and moving of piling rig to locations and disposal of arisings</t>
  </si>
  <si>
    <t xml:space="preserve">Extra over allowance for breaking through obstructions</t>
  </si>
  <si>
    <t xml:space="preserve">Allowance for pile caps</t>
  </si>
  <si>
    <t xml:space="preserve">%</t>
  </si>
  <si>
    <t xml:space="preserve">Allowance for pile caps to stair cores</t>
  </si>
  <si>
    <t xml:space="preserve">Allowance for pile caps generally</t>
  </si>
  <si>
    <t xml:space="preserve">Allowance for ground beams</t>
  </si>
  <si>
    <t xml:space="preserve">Allowance for forming lift pit;</t>
  </si>
  <si>
    <t xml:space="preserve">Allowance for underpinning</t>
  </si>
  <si>
    <t xml:space="preserve">Prepare Formation</t>
  </si>
  <si>
    <t xml:space="preserve">Setting Out</t>
  </si>
  <si>
    <t xml:space="preserve">Level &amp; Compact Excavation</t>
  </si>
  <si>
    <t xml:space="preserve">Allowance for strip foundations (min 600mm wide, 1000mm deep) including concrete and all associated works including excavation and disposal.</t>
  </si>
  <si>
    <t xml:space="preserve">lm</t>
  </si>
  <si>
    <t xml:space="preserve">Foundations</t>
  </si>
  <si>
    <t xml:space="preserve">Blockwork walls below ground using concrete block in 1:1:6 cement:sand mortar</t>
  </si>
  <si>
    <t xml:space="preserve">m</t>
  </si>
  <si>
    <t xml:space="preserve">Perimeter Walls n.e 1000mm high</t>
  </si>
  <si>
    <t xml:space="preserve">100mm Thk blockwork wall inner leaf</t>
  </si>
  <si>
    <t xml:space="preserve">Form cavity c/w lean mix</t>
  </si>
  <si>
    <t xml:space="preserve">Structural frame design coordination</t>
  </si>
  <si>
    <t xml:space="preserve">Setting out for structural frame</t>
  </si>
  <si>
    <t xml:space="preserve">Temporary works design for frame</t>
  </si>
  <si>
    <t xml:space="preserve">Formwork systems</t>
  </si>
  <si>
    <t xml:space="preserve">Falsework and propping</t>
  </si>
  <si>
    <t xml:space="preserve">In-situ reinforced concrete columns</t>
  </si>
  <si>
    <t xml:space="preserve">m3</t>
  </si>
  <si>
    <t xml:space="preserve">In-situ reinforced concrete beams</t>
  </si>
  <si>
    <t xml:space="preserve">In-situ reinforced concrete floor slabs</t>
  </si>
  <si>
    <t xml:space="preserve">Reinforced concrete cores</t>
  </si>
  <si>
    <t xml:space="preserve">Supply and fix reinforcement</t>
  </si>
  <si>
    <t xml:space="preserve">t</t>
  </si>
  <si>
    <t xml:space="preserve">Formwork to vertical elements</t>
  </si>
  <si>
    <t xml:space="preserve">Formwork to horizontal elements</t>
  </si>
  <si>
    <t xml:space="preserve">Precast concrete columns</t>
  </si>
  <si>
    <t xml:space="preserve">Precast concrete beams</t>
  </si>
  <si>
    <t xml:space="preserve">Precast concrete floor units</t>
  </si>
  <si>
    <t xml:space="preserve">Precast concrete stairs</t>
  </si>
  <si>
    <t xml:space="preserve">Grouting and structural connections</t>
  </si>
  <si>
    <t xml:space="preserve">Structural steel columns</t>
  </si>
  <si>
    <t xml:space="preserve">Structural steel beams</t>
  </si>
  <si>
    <t xml:space="preserve">Steel bracing members</t>
  </si>
  <si>
    <t xml:space="preserve">In-situ reinforced concrete upper floor slabs</t>
  </si>
  <si>
    <t xml:space="preserve">m³</t>
  </si>
  <si>
    <t xml:space="preserve">Precast concrete floor planks</t>
  </si>
  <si>
    <t xml:space="preserve">m²</t>
  </si>
  <si>
    <t xml:space="preserve">Composite metal deck floor system</t>
  </si>
  <si>
    <t xml:space="preserve">Cross laminated timber floor panels</t>
  </si>
  <si>
    <t xml:space="preserve">Sand/cement screed to floors</t>
  </si>
  <si>
    <t xml:space="preserve">Proprietary flowing screed</t>
  </si>
  <si>
    <t xml:space="preserve">Rigid floor insulation</t>
  </si>
  <si>
    <t xml:space="preserve">Acoustic floor insulation</t>
  </si>
  <si>
    <t xml:space="preserve">Vapour control layers</t>
  </si>
  <si>
    <t xml:space="preserve">Self levelling compound</t>
  </si>
  <si>
    <t xml:space="preserve">Concrete upstands to slab edges</t>
  </si>
  <si>
    <t xml:space="preserve">Metal edge trims</t>
  </si>
  <si>
    <t xml:space="preserve">Movement joints in floor slab</t>
  </si>
  <si>
    <t xml:space="preserve">Structural trimming around floor openings</t>
  </si>
  <si>
    <t xml:space="preserve">Allowance for service penetrations through floors</t>
  </si>
  <si>
    <t xml:space="preserve">Structural balcony slabs</t>
  </si>
  <si>
    <t xml:space="preserve">Balcony waterproofing systems</t>
  </si>
  <si>
    <t xml:space="preserve">Balcony surface finishes</t>
  </si>
  <si>
    <t xml:space="preserve">Fire stopping to floor penetrations</t>
  </si>
  <si>
    <t xml:space="preserve">Testing and inspection of floor construction</t>
  </si>
  <si>
    <t xml:space="preserve">Roof Structure</t>
  </si>
  <si>
    <t xml:space="preserve">Allowance for reinforced concrete roof slab; insulation and coverings elsewhere</t>
  </si>
  <si>
    <t xml:space="preserve">Nominal allowance for sundry upstands ec</t>
  </si>
  <si>
    <t xml:space="preserve">Supply and Installation of Roof Structure</t>
  </si>
  <si>
    <t xml:space="preserve">Sundry allowances</t>
  </si>
  <si>
    <t xml:space="preserve">Underlay </t>
  </si>
  <si>
    <t xml:space="preserve">Battens</t>
  </si>
  <si>
    <t xml:space="preserve">Roof Tiles</t>
  </si>
  <si>
    <t xml:space="preserve">Eaves tiles</t>
  </si>
  <si>
    <t xml:space="preserve">m </t>
  </si>
  <si>
    <t xml:space="preserve">Ridge tiles</t>
  </si>
  <si>
    <t xml:space="preserve">Verge tiles</t>
  </si>
  <si>
    <t xml:space="preserve">Valley tiles</t>
  </si>
  <si>
    <t xml:space="preserve">Hip tiles</t>
  </si>
  <si>
    <t xml:space="preserve">Fascia and Soffit detail to truss overhangs, details unclear</t>
  </si>
  <si>
    <t xml:space="preserve">Gutters; </t>
  </si>
  <si>
    <t xml:space="preserve">downpipes</t>
  </si>
  <si>
    <t xml:space="preserve">Setting out of Windows and Door Openings</t>
  </si>
  <si>
    <t xml:space="preserve">UPVC Doors: Assumed 975mm (w) x 2500mm (h) Entrance Door</t>
  </si>
  <si>
    <t xml:space="preserve">UPVC Doors: Assumed 1200mm (w) x 2500mm (h) Entrance Door</t>
  </si>
  <si>
    <t xml:space="preserve">Aluminium Glazed Doors: Assumed 975mm (w) x 2500mm (h) Entrance Door</t>
  </si>
  <si>
    <t xml:space="preserve">Aluminium Glazed Doors: Assumed 1200mm (w) x 2500mm (h) Entrance Door</t>
  </si>
  <si>
    <t xml:space="preserve">Composite Doors: Assumed 975mm (w) x 2500mm (h) Entrance Door</t>
  </si>
  <si>
    <t xml:space="preserve">External Windows: Aluminium Framaed, small (&lt;1.5m2)</t>
  </si>
  <si>
    <t xml:space="preserve">External Windows: Aluminium Framed, Medium (&lt;1.5-3m2)</t>
  </si>
  <si>
    <t xml:space="preserve">External Windows: Aluminium Framed, small (&gt;3m2)</t>
  </si>
  <si>
    <t xml:space="preserve">External Windows: UPVC Framed, Medium (&lt;1.5-3m2)</t>
  </si>
  <si>
    <t xml:space="preserve">External Windows: UPVC Framed, small (&gt;3m2)</t>
  </si>
  <si>
    <t xml:space="preserve">External Windows: UPVC Framaed, small (&lt;1.5m2)</t>
  </si>
  <si>
    <t xml:space="preserve">Timber Windows: All Sizes (note size here)</t>
  </si>
  <si>
    <t xml:space="preserve">Curtain wall glazed panels / feature glazing</t>
  </si>
  <si>
    <t xml:space="preserve">E/O: External Windows - Obscure</t>
  </si>
  <si>
    <t xml:space="preserve">Ironmongery, locks and door furniture</t>
  </si>
  <si>
    <t xml:space="preserve">Seals, weatherproofing and mastic joints</t>
  </si>
  <si>
    <t xml:space="preserve">Testing and commisioning</t>
  </si>
  <si>
    <t xml:space="preserve">Stairs and ramps</t>
  </si>
  <si>
    <t xml:space="preserve">Allowance for main stair to cores</t>
  </si>
  <si>
    <t xml:space="preserve">EO for wall mounted handrail; allow 10m per floor</t>
  </si>
  <si>
    <t xml:space="preserve">EO for balustrade; allow 5m per floor</t>
  </si>
  <si>
    <t xml:space="preserve">Allowance for roof access ladders</t>
  </si>
  <si>
    <t xml:space="preserve">Allowance for sundry stairs/ raps to plant areas</t>
  </si>
  <si>
    <t xml:space="preserve">Temporary supports and access during construction</t>
  </si>
  <si>
    <t xml:space="preserve">Timber Stair construction and framing</t>
  </si>
  <si>
    <t xml:space="preserve">Metal Stair Treads and Risers</t>
  </si>
  <si>
    <t xml:space="preserve">Concrete Finishes to Stair Treads, Risers and Landings</t>
  </si>
  <si>
    <t xml:space="preserve">Balusrade and guarding systems</t>
  </si>
  <si>
    <t xml:space="preserve">Handrails and support Brackets</t>
  </si>
  <si>
    <t xml:space="preserve">Stair Soffits and finishes</t>
  </si>
  <si>
    <t xml:space="preserve">Edge protection and safety features</t>
  </si>
  <si>
    <t xml:space="preserve">Movement joints and interfaces with adjacent elements</t>
  </si>
  <si>
    <t xml:space="preserve">Setting out of Atair and Ramp geometry</t>
  </si>
  <si>
    <t xml:space="preserve">Ramp construction</t>
  </si>
  <si>
    <t xml:space="preserve">Applied finish to ramps (Tactile indicators etc..)</t>
  </si>
  <si>
    <t xml:space="preserve">Fire protaction to structual elements</t>
  </si>
  <si>
    <t xml:space="preserve">BWIC</t>
  </si>
  <si>
    <t xml:space="preserve">Testing, inspection and completion requirements</t>
  </si>
  <si>
    <t xml:space="preserve">Setting out of External wall lines and levels</t>
  </si>
  <si>
    <t xml:space="preserve">Temporary supports and protection to external walls</t>
  </si>
  <si>
    <t xml:space="preserve">External walls structural framing systems</t>
  </si>
  <si>
    <t xml:space="preserve">In situ concrete external walls</t>
  </si>
  <si>
    <t xml:space="preserve">Timber framed external wall systems</t>
  </si>
  <si>
    <t xml:space="preserve">External Wall cladding systems (e.g. metal, composite etc..)</t>
  </si>
  <si>
    <t xml:space="preserve">Curtain walling and glazed façade systems</t>
  </si>
  <si>
    <t xml:space="preserve">External finishes (render etc..)</t>
  </si>
  <si>
    <t xml:space="preserve">Movement Joints and expansion joints</t>
  </si>
  <si>
    <t xml:space="preserve">Facing bricks </t>
  </si>
  <si>
    <t xml:space="preserve">E/O for feature Plinth Detail</t>
  </si>
  <si>
    <t xml:space="preserve">E/O for feature 3 Course Band (Stepped)</t>
  </si>
  <si>
    <t xml:space="preserve">E/O for feature Solider Course Window Ledges</t>
  </si>
  <si>
    <t xml:space="preserve">E/O for feature Solider Course Window Head (Splayed)</t>
  </si>
  <si>
    <t xml:space="preserve">Forming Cavities to External Walls</t>
  </si>
  <si>
    <t xml:space="preserve">100mm Rigid Board</t>
  </si>
  <si>
    <t xml:space="preserve">100mm Concrete Blockwork to inner skin, 7.4N/mm2</t>
  </si>
  <si>
    <t xml:space="preserve">Allowance for the supply and installation of cavity wall lintels, with 150mm bearing each end</t>
  </si>
  <si>
    <t xml:space="preserve">n.e 900mm long</t>
  </si>
  <si>
    <t xml:space="preserve">E/O fo ropenings</t>
  </si>
  <si>
    <t xml:space="preserve">Setting out of internal wall and partition layouts</t>
  </si>
  <si>
    <t xml:space="preserve">Temporary supports and protection during installation</t>
  </si>
  <si>
    <t xml:space="preserve">Masonry internal walls (blockwork/brickwork)</t>
  </si>
  <si>
    <t xml:space="preserve">In-situ concrete internal walls</t>
  </si>
  <si>
    <t xml:space="preserve">Precast concrete internal wall panels</t>
  </si>
  <si>
    <t xml:space="preserve">Metal stud partition systems</t>
  </si>
  <si>
    <t xml:space="preserve">Timber stud partition systems</t>
  </si>
  <si>
    <t xml:space="preserve">Demountable partition systems</t>
  </si>
  <si>
    <t xml:space="preserve">Glazed internal partition systems</t>
  </si>
  <si>
    <t xml:space="preserve">Insulation within partitions (acoustic/thermal)</t>
  </si>
  <si>
    <t xml:space="preserve">Vapour control layers where required</t>
  </si>
  <si>
    <t xml:space="preserve">Fire stopping and cavity barriers within partitions</t>
  </si>
  <si>
    <t xml:space="preserve">Dry lining and plasterboard finishes to partitions</t>
  </si>
  <si>
    <t xml:space="preserve">Internal wall linings and finishes</t>
  </si>
  <si>
    <t xml:space="preserve">Movement joints and junctions with structure</t>
  </si>
  <si>
    <t xml:space="preserve">Door openings, frames, and linings within partitions</t>
  </si>
  <si>
    <t xml:space="preserve">Builder’s work in connection with services</t>
  </si>
  <si>
    <t xml:space="preserve">Skirtings, trims, and edge protection</t>
  </si>
  <si>
    <t xml:space="preserve">Tape&amp;Join</t>
  </si>
  <si>
    <t xml:space="preserve">Testing, inspection, and completion requirements</t>
  </si>
  <si>
    <t xml:space="preserve">General preliminaries specific to internal doors</t>
  </si>
  <si>
    <t xml:space="preserve">Setting out of internal door openings</t>
  </si>
  <si>
    <t xml:space="preserve">Temporary protection to door openings and installed doors</t>
  </si>
  <si>
    <t xml:space="preserve">Timber internal doors – standard size (≤2.1 m high)</t>
  </si>
  <si>
    <t xml:space="preserve">Timber internal doors – oversized (&gt;2.1 m high)</t>
  </si>
  <si>
    <t xml:space="preserve">Solid core timber doorsets</t>
  </si>
  <si>
    <t xml:space="preserve">Hollow core timber doorsets</t>
  </si>
  <si>
    <t xml:space="preserve">Fire-rated internal doorsets</t>
  </si>
  <si>
    <t xml:space="preserve">Acoustic-rated internal doorsets</t>
  </si>
  <si>
    <t xml:space="preserve">Glazed internal doors (single leaf)</t>
  </si>
  <si>
    <t xml:space="preserve">Glazed internal doors (double leaf)</t>
  </si>
  <si>
    <t xml:space="preserve">Sliding internal doorsets</t>
  </si>
  <si>
    <t xml:space="preserve">Folding/internal partition doorsets</t>
  </si>
  <si>
    <t xml:space="preserve">Door frames, linings, and architraves</t>
  </si>
  <si>
    <t xml:space="preserve">Ironmongery, locks, and door furniture</t>
  </si>
  <si>
    <t xml:space="preserve">Glazing within doors (safety glass)</t>
  </si>
  <si>
    <t xml:space="preserve">Seals, intumescent strips, and smoke seals</t>
  </si>
  <si>
    <t xml:space="preserve">Door closers, hinges, and opening restrictors</t>
  </si>
  <si>
    <t xml:space="preserve">Access control and security fittings</t>
  </si>
  <si>
    <t xml:space="preserve">General preliminaries specific to wall finishes</t>
  </si>
  <si>
    <t xml:space="preserve">Setting out of wall finish extents and levels</t>
  </si>
  <si>
    <t xml:space="preserve">Preparation of wall surfaces for finishes</t>
  </si>
  <si>
    <t xml:space="preserve">Cement/sand render finishes to walls</t>
  </si>
  <si>
    <t xml:space="preserve">Gypsum plaster skim finishes to walls</t>
  </si>
  <si>
    <t xml:space="preserve">Polished plaster finishes</t>
  </si>
  <si>
    <t xml:space="preserve">Ceramic wall tiling – small format</t>
  </si>
  <si>
    <t xml:space="preserve">Ceramic/porcelain wall tiling – large format</t>
  </si>
  <si>
    <t xml:space="preserve">Natural stone wall finishes</t>
  </si>
  <si>
    <t xml:space="preserve">Terrazzo wall finishes</t>
  </si>
  <si>
    <t xml:space="preserve">Resin wall coatings</t>
  </si>
  <si>
    <t xml:space="preserve">Glass wall linings / splashbacks</t>
  </si>
  <si>
    <t xml:space="preserve">Decorative wall panelling systems (timber/laminate)</t>
  </si>
  <si>
    <t xml:space="preserve">Metal wall cladding / sheet finishes (internal)</t>
  </si>
  <si>
    <t xml:space="preserve">Acoustic wall panel finishes</t>
  </si>
  <si>
    <t xml:space="preserve">Paint finishes – emulsion systems</t>
  </si>
  <si>
    <t xml:space="preserve">Paint finishes – specialist coatings</t>
  </si>
  <si>
    <t xml:space="preserve">Wall coverings (e.g. wallpaper, vinyl)</t>
  </si>
  <si>
    <t xml:space="preserve">General preliminaries specific to floor finishes</t>
  </si>
  <si>
    <t xml:space="preserve">Setting out of floor finish layouts and levels</t>
  </si>
  <si>
    <t xml:space="preserve">Preparation of subfloor surfaces</t>
  </si>
  <si>
    <t xml:space="preserve">Polished concrete floor finishes</t>
  </si>
  <si>
    <t xml:space="preserve">Terrazzo floor finishes</t>
  </si>
  <si>
    <t xml:space="preserve">Resin floor finishes</t>
  </si>
  <si>
    <t xml:space="preserve">Ceramic floor tiling – small format</t>
  </si>
  <si>
    <t xml:space="preserve">Ceramic/porcelain floor tiling – large format</t>
  </si>
  <si>
    <t xml:space="preserve">Natural stone floor finishes</t>
  </si>
  <si>
    <t xml:space="preserve">Quarry tile floor finishes</t>
  </si>
  <si>
    <t xml:space="preserve">Timber flooring (solid/hardwood)</t>
  </si>
  <si>
    <t xml:space="preserve">Engineered timber flooring</t>
  </si>
  <si>
    <t xml:space="preserve">Laminate flooring systems</t>
  </si>
  <si>
    <t xml:space="preserve">Vinyl sheet flooring</t>
  </si>
  <si>
    <t xml:space="preserve">Luxury vinyl tile (LVT) flooring</t>
  </si>
  <si>
    <t xml:space="preserve">Rubber flooring systems</t>
  </si>
  <si>
    <t xml:space="preserve">Carpet flooring</t>
  </si>
  <si>
    <t xml:space="preserve">Entrance matting systems</t>
  </si>
  <si>
    <t xml:space="preserve">Skirtings, trims, and transition strips</t>
  </si>
  <si>
    <t xml:space="preserve">General preliminaries specific to ceiling finishes</t>
  </si>
  <si>
    <t xml:space="preserve">Setting out of ceiling layouts and levels</t>
  </si>
  <si>
    <t xml:space="preserve">Preparation of soffits and ceiling substrates</t>
  </si>
  <si>
    <t xml:space="preserve">Suspended grid ceiling systems (mineral fibre tiles)</t>
  </si>
  <si>
    <t xml:space="preserve">Suspended metal ceiling systems</t>
  </si>
  <si>
    <t xml:space="preserve">Gypsum plaster skim finishes to ceilings</t>
  </si>
  <si>
    <t xml:space="preserve">Polished plaster ceiling finishes</t>
  </si>
  <si>
    <t xml:space="preserve">Fire-rated ceiling finish systems</t>
  </si>
  <si>
    <t xml:space="preserve">Acoustic ceiling systems</t>
  </si>
  <si>
    <t xml:space="preserve">Timber slatted ceiling finishes</t>
  </si>
  <si>
    <t xml:space="preserve">Metal linear ceiling systems</t>
  </si>
  <si>
    <t xml:space="preserve">Stretch ceiling systems</t>
  </si>
  <si>
    <t xml:space="preserve">Glass ceiling panels</t>
  </si>
  <si>
    <t xml:space="preserve">Decorative ceiling finishes (e.g. feature panels)</t>
  </si>
  <si>
    <t xml:space="preserve">Exposed soffit finishes (painted/sealed)</t>
  </si>
  <si>
    <t xml:space="preserve">Paint finishes to ceilings – emulsion systems</t>
  </si>
  <si>
    <t xml:space="preserve">Paint finishes to ceilings – specialist coatings</t>
  </si>
  <si>
    <t xml:space="preserve">Access panels and hatches</t>
  </si>
  <si>
    <t xml:space="preserve">Perimeter trims and movement joints</t>
  </si>
  <si>
    <t xml:space="preserve">General preliminaries specific to FF&amp;E</t>
  </si>
  <si>
    <t xml:space="preserve">Setting out of FF&amp;E layouts and locations</t>
  </si>
  <si>
    <t xml:space="preserve">Coordination with services and interfaces</t>
  </si>
  <si>
    <t xml:space="preserve">Supply and installation of loose furniture</t>
  </si>
  <si>
    <t xml:space="preserve">Built-in furniture and joinery units</t>
  </si>
  <si>
    <t xml:space="preserve">Reception desks and counters</t>
  </si>
  <si>
    <t xml:space="preserve">Workstations and desks</t>
  </si>
  <si>
    <t xml:space="preserve">Storage units and shelving systems</t>
  </si>
  <si>
    <t xml:space="preserve">Seating (chairs, benches, sofas)</t>
  </si>
  <si>
    <t xml:space="preserve">Beds and bedroom furniture</t>
  </si>
  <si>
    <t xml:space="preserve">Kitchen units and fitted appliances</t>
  </si>
  <si>
    <t xml:space="preserve">Sanitary accessories (mirrors, dispensers)</t>
  </si>
  <si>
    <t xml:space="preserve">Blinds, curtains, and window dressings</t>
  </si>
  <si>
    <t xml:space="preserve">Signage and wayfinding elements</t>
  </si>
  <si>
    <t xml:space="preserve">Whiteboards and notice boards</t>
  </si>
  <si>
    <t xml:space="preserve">Specialist equipment (project specific)</t>
  </si>
  <si>
    <t xml:space="preserve">Artwork and decorative items</t>
  </si>
  <si>
    <t xml:space="preserve">Fixings, brackets, and supports</t>
  </si>
  <si>
    <t xml:space="preserve">Protection, cleaning, and adjustment</t>
  </si>
  <si>
    <t xml:space="preserve">Delivery, handling, and installation logistics</t>
  </si>
  <si>
    <t xml:space="preserve">General preliminaries specific to sanitary installations</t>
  </si>
  <si>
    <t xml:space="preserve">Setting out of sanitary layouts and positions</t>
  </si>
  <si>
    <t xml:space="preserve">Coordination with mechanical and plumbing services</t>
  </si>
  <si>
    <t xml:space="preserve">WC pans and cisterns</t>
  </si>
  <si>
    <t xml:space="preserve">Wall-hung WC systems and frames</t>
  </si>
  <si>
    <t xml:space="preserve">Urinals and associated fittings</t>
  </si>
  <si>
    <t xml:space="preserve">Wash hand basins</t>
  </si>
  <si>
    <t xml:space="preserve">Vanity units and integrated basins</t>
  </si>
  <si>
    <t xml:space="preserve">Kitchen sinks and draining boards</t>
  </si>
  <si>
    <t xml:space="preserve">Baths and associated fittings</t>
  </si>
  <si>
    <t xml:space="preserve">Shower trays and enclosures</t>
  </si>
  <si>
    <t xml:space="preserve">Shower fittings (mixers, heads, controls)</t>
  </si>
  <si>
    <t xml:space="preserve">Taps and mixers</t>
  </si>
  <si>
    <t xml:space="preserve">Sanitary accessories (mirrors, dispensers, rails)</t>
  </si>
  <si>
    <t xml:space="preserve">Disabled access sanitary equipment</t>
  </si>
  <si>
    <t xml:space="preserve">Fixings, brackets, and support frames</t>
  </si>
  <si>
    <t xml:space="preserve">Waterproofing and sealing to sanitary areas</t>
  </si>
  <si>
    <t xml:space="preserve">Connections to water supply and drainage</t>
  </si>
  <si>
    <t xml:space="preserve">Protection, cleaning, and final adjustments</t>
  </si>
  <si>
    <t xml:space="preserve">Commissioning and handover requirements</t>
  </si>
  <si>
    <t xml:space="preserve">General preliminaries specific to services equipment</t>
  </si>
  <si>
    <t xml:space="preserve">Setting out of services equipment locations</t>
  </si>
  <si>
    <t xml:space="preserve">Coordination with building structure and finishes</t>
  </si>
  <si>
    <t xml:space="preserve">Plant and equipment bases and supports</t>
  </si>
  <si>
    <t xml:space="preserve">Packaged plant units (e.g. boilers, chillers)</t>
  </si>
  <si>
    <t xml:space="preserve">Air handling units and ventilation equipment</t>
  </si>
  <si>
    <t xml:space="preserve">Pumps and pressurisation units</t>
  </si>
  <si>
    <t xml:space="preserve">Water storage tanks and vessels</t>
  </si>
  <si>
    <t xml:space="preserve">Heat exchangers and calorifiers</t>
  </si>
  <si>
    <t xml:space="preserve">Electrical distribution equipment (panels, boards)</t>
  </si>
  <si>
    <t xml:space="preserve">Lighting control panels and systems</t>
  </si>
  <si>
    <t xml:space="preserve">Fire alarm panels and equipment</t>
  </si>
  <si>
    <t xml:space="preserve">Security and access control equipment</t>
  </si>
  <si>
    <t xml:space="preserve">Lifts and vertical transportation equipment</t>
  </si>
  <si>
    <t xml:space="preserve">Building management system (BMS) equipment</t>
  </si>
  <si>
    <t xml:space="preserve">Renewable energy equipment (e.g. PV inverters)</t>
  </si>
  <si>
    <t xml:space="preserve">Duct-mounted and terminal equipment</t>
  </si>
  <si>
    <t xml:space="preserve">Pipework-mounted equipment and valves</t>
  </si>
  <si>
    <t xml:space="preserve">Fixings, supports, and anti-vibration mounts</t>
  </si>
  <si>
    <t xml:space="preserve">Commissioning, testing, and handover requirements</t>
  </si>
  <si>
    <t xml:space="preserve">General preliminaries specific to electrical installations</t>
  </si>
  <si>
    <t xml:space="preserve">Setting out of electrical installation layouts</t>
  </si>
  <si>
    <t xml:space="preserve">Coordination with structure and other services</t>
  </si>
  <si>
    <t xml:space="preserve">Containment systems (conduits, trunking, tray)</t>
  </si>
  <si>
    <t xml:space="preserve">Cable management and routing systems</t>
  </si>
  <si>
    <t xml:space="preserve">Power distribution cabling</t>
  </si>
  <si>
    <t xml:space="preserve">Submain and final circuit wiring</t>
  </si>
  <si>
    <t xml:space="preserve">Small power outlets and socket systems</t>
  </si>
  <si>
    <t xml:space="preserve">Isolators and local switching devices</t>
  </si>
  <si>
    <t xml:space="preserve">Distribution boards and consumer units</t>
  </si>
  <si>
    <t xml:space="preserve">Lighting installations (internal)</t>
  </si>
  <si>
    <t xml:space="preserve">Lighting installations (external)</t>
  </si>
  <si>
    <t xml:space="preserve">Emergency lighting systems</t>
  </si>
  <si>
    <t xml:space="preserve">Lighting control systems</t>
  </si>
  <si>
    <t xml:space="preserve">Fire alarm wiring and devices</t>
  </si>
  <si>
    <t xml:space="preserve">Data and communications cabling</t>
  </si>
  <si>
    <t xml:space="preserve">Security and access control wiring</t>
  </si>
  <si>
    <t xml:space="preserve">Earthing and bonding systems</t>
  </si>
  <si>
    <t xml:space="preserve">Fixings, supports, and labelling</t>
  </si>
  <si>
    <t xml:space="preserve">General preliminaries specific to mechanical installations</t>
  </si>
  <si>
    <t xml:space="preserve">Setting out of mechanical installation layouts</t>
  </si>
  <si>
    <t xml:space="preserve">Pipework systems (hot and cold water)</t>
  </si>
  <si>
    <t xml:space="preserve">Pipework insulation and trace heating</t>
  </si>
  <si>
    <t xml:space="preserve">Heating systems and emitters</t>
  </si>
  <si>
    <t xml:space="preserve">Ventilation ductwork systems</t>
  </si>
  <si>
    <t xml:space="preserve">Air distribution terminals and grilles</t>
  </si>
  <si>
    <t xml:space="preserve">Air conditioning systems and units</t>
  </si>
  <si>
    <t xml:space="preserve">Refrigeration systems</t>
  </si>
  <si>
    <t xml:space="preserve">Fuel supply systems</t>
  </si>
  <si>
    <t xml:space="preserve">Drainage pipework installations</t>
  </si>
  <si>
    <t xml:space="preserve">Pumps and circulation equipment</t>
  </si>
  <si>
    <t xml:space="preserve">Valves and control devices</t>
  </si>
  <si>
    <t xml:space="preserve">Thermal insulation to services</t>
  </si>
  <si>
    <t xml:space="preserve">Builders work in connection with services</t>
  </si>
  <si>
    <t xml:space="preserve">Supports, brackets, and fixings</t>
  </si>
  <si>
    <t xml:space="preserve">Identification and labelling of services</t>
  </si>
  <si>
    <t xml:space="preserve">System balancing and commissioning</t>
  </si>
  <si>
    <t xml:space="preserve">Handover and operation manuals</t>
  </si>
  <si>
    <t xml:space="preserve">General preliminaries specific to lift and conveyor installations</t>
  </si>
  <si>
    <t xml:space="preserve">Setting out of lift shafts and equipment</t>
  </si>
  <si>
    <t xml:space="preserve">Passenger lift installations</t>
  </si>
  <si>
    <t xml:space="preserve">Goods lift installations</t>
  </si>
  <si>
    <t xml:space="preserve">Platform lifts and accessibility lifts</t>
  </si>
  <si>
    <t xml:space="preserve">Escalators and moving walkways</t>
  </si>
  <si>
    <t xml:space="preserve">Lift cars and internal finishes</t>
  </si>
  <si>
    <t xml:space="preserve">Lift doors and landing doors</t>
  </si>
  <si>
    <t xml:space="preserve">Lift control systems</t>
  </si>
  <si>
    <t xml:space="preserve">Drive systems and motors</t>
  </si>
  <si>
    <t xml:space="preserve">Guide rails and support systems</t>
  </si>
  <si>
    <t xml:space="preserve">Lift shaft equipment and fittings</t>
  </si>
  <si>
    <t xml:space="preserve">Safety systems and emergency controls</t>
  </si>
  <si>
    <t xml:space="preserve">Electrical wiring and connections</t>
  </si>
  <si>
    <t xml:space="preserve">Communication systems within lifts</t>
  </si>
  <si>
    <t xml:space="preserve">Ventilation and environmental controls within shafts</t>
  </si>
  <si>
    <t xml:space="preserve">Testing and commissioning of systems</t>
  </si>
  <si>
    <t xml:space="preserve">General preliminaries specific to fire and lightning protection</t>
  </si>
  <si>
    <t xml:space="preserve">Setting out of fire and lightning protection systems</t>
  </si>
  <si>
    <t xml:space="preserve">Fire alarm systems and cabling</t>
  </si>
  <si>
    <t xml:space="preserve">Fire detection devices (smoke and heat detectors)</t>
  </si>
  <si>
    <t xml:space="preserve">Manual call points and alarm interfaces</t>
  </si>
  <si>
    <t xml:space="preserve">Sounders, beacons, and alarm devices</t>
  </si>
  <si>
    <t xml:space="preserve">Lightning protection air termination systems</t>
  </si>
  <si>
    <t xml:space="preserve">Lightning protection down conductors</t>
  </si>
  <si>
    <t xml:space="preserve">Earth termination systems</t>
  </si>
  <si>
    <t xml:space="preserve">Surge protection devices</t>
  </si>
  <si>
    <t xml:space="preserve">Fire suppression systems (sprinklers or mist)</t>
  </si>
  <si>
    <t xml:space="preserve">Fire extinguishers and associated equipment</t>
  </si>
  <si>
    <t xml:space="preserve">Fire stopping to service penetrations</t>
  </si>
  <si>
    <t xml:space="preserve">Cavity barriers and fire protection measures</t>
  </si>
  <si>
    <t xml:space="preserve">Control panels and monitoring systems</t>
  </si>
  <si>
    <t xml:space="preserve">Connections to building management systems</t>
  </si>
  <si>
    <t xml:space="preserve">Testing, commissioning, and certification</t>
  </si>
  <si>
    <t xml:space="preserve">General preliminaries specific to communication and security systems</t>
  </si>
  <si>
    <t xml:space="preserve">Setting out of communication and security system layouts</t>
  </si>
  <si>
    <t xml:space="preserve">Structured data cabling systems</t>
  </si>
  <si>
    <t xml:space="preserve">Fibre optic cabling installations</t>
  </si>
  <si>
    <t xml:space="preserve">Telecommunication distribution frames and cabinets</t>
  </si>
  <si>
    <t xml:space="preserve">Wireless network equipment and access points</t>
  </si>
  <si>
    <t xml:space="preserve">Public address and voice alarm systems</t>
  </si>
  <si>
    <t xml:space="preserve">Audio visual systems and equipment</t>
  </si>
  <si>
    <t xml:space="preserve">CCTV systems and cameras</t>
  </si>
  <si>
    <t xml:space="preserve">Video recording and monitoring equipment</t>
  </si>
  <si>
    <t xml:space="preserve">Access control systems (card readers, keypads)</t>
  </si>
  <si>
    <t xml:space="preserve">Door entry and intercom systems</t>
  </si>
  <si>
    <t xml:space="preserve">Intruder alarm systems</t>
  </si>
  <si>
    <t xml:space="preserve">Security control panels and interfaces</t>
  </si>
  <si>
    <t xml:space="preserve">Containment systems for communication cabling</t>
  </si>
  <si>
    <t xml:space="preserve">Power supplies and backup systems (UPS)</t>
  </si>
  <si>
    <t xml:space="preserve">Testing, commissioning, and handover requirements</t>
  </si>
  <si>
    <t xml:space="preserve">General preliminaries specific to specialist installations</t>
  </si>
  <si>
    <t xml:space="preserve">Setting out of specialist installation layouts</t>
  </si>
  <si>
    <t xml:space="preserve">Building management system (BMS) installations</t>
  </si>
  <si>
    <t xml:space="preserve">Renewable energy systems (e.g. solar PV)</t>
  </si>
  <si>
    <t xml:space="preserve">Energy storage systems (battery installations)</t>
  </si>
  <si>
    <t xml:space="preserve">Electric vehicle charging installations</t>
  </si>
  <si>
    <t xml:space="preserve">Lightning monitoring and control systems</t>
  </si>
  <si>
    <t xml:space="preserve">Specialist lighting systems (feature/architectural)</t>
  </si>
  <si>
    <t xml:space="preserve">Theatre and stage equipment systems</t>
  </si>
  <si>
    <t xml:space="preserve">Laboratory installations and equipment</t>
  </si>
  <si>
    <t xml:space="preserve">Medical gas installations</t>
  </si>
  <si>
    <t xml:space="preserve">Clean room installations</t>
  </si>
  <si>
    <t xml:space="preserve">Kitchen and catering specialist equipment</t>
  </si>
  <si>
    <t xml:space="preserve">Laundry and waste handling systems</t>
  </si>
  <si>
    <t xml:space="preserve">Swimming pool and water feature systems</t>
  </si>
  <si>
    <t xml:space="preserve">Industrial or process installations</t>
  </si>
  <si>
    <t xml:space="preserve">Control systems and specialist interfaces</t>
  </si>
  <si>
    <t xml:space="preserve">General preliminaries specific to builders work in connection</t>
  </si>
  <si>
    <t xml:space="preserve">Setting out for builders work in connection with services</t>
  </si>
  <si>
    <t xml:space="preserve">Coordination with mechanical and electrical installations</t>
  </si>
  <si>
    <t xml:space="preserve">Forming openings in walls for services</t>
  </si>
  <si>
    <t xml:space="preserve">Forming openings in floors for services</t>
  </si>
  <si>
    <t xml:space="preserve">Forming openings in roofs for services</t>
  </si>
  <si>
    <t xml:space="preserve">Cutting and chasing for services installations</t>
  </si>
  <si>
    <t xml:space="preserve">Notching and drilling of structural elements (where permitted)</t>
  </si>
  <si>
    <t xml:space="preserve">Forming holes for pipework and ductwork penetrations</t>
  </si>
  <si>
    <t xml:space="preserve">Forming recesses for service installations</t>
  </si>
  <si>
    <t xml:space="preserve">Provision of sleeves and ducts through structure</t>
  </si>
  <si>
    <t xml:space="preserve">Making good finishes around service penetrations</t>
  </si>
  <si>
    <t xml:space="preserve">Forming plinths and bases for equipment</t>
  </si>
  <si>
    <t xml:space="preserve">Forming trenches and ducts for services</t>
  </si>
  <si>
    <t xml:space="preserve">Temporary making safe of openings</t>
  </si>
  <si>
    <t xml:space="preserve">Permanent sealing and weatherproofing of penetrations</t>
  </si>
  <si>
    <t xml:space="preserve">Protection of adjacent finishes during works</t>
  </si>
  <si>
    <t xml:space="preserve">Supports and fixings for builders work</t>
  </si>
  <si>
    <t xml:space="preserve">Completion and final making good</t>
  </si>
  <si>
    <t xml:space="preserve">General preliminaries specific to testing and commissioning of services</t>
  </si>
  <si>
    <t xml:space="preserve">Setting out of testing and commissioning requirements</t>
  </si>
  <si>
    <t xml:space="preserve">Preparation of systems for testing and commissioning</t>
  </si>
  <si>
    <t xml:space="preserve">Pre-commissioning checks and inspections</t>
  </si>
  <si>
    <t xml:space="preserve">Flushing and cleaning of pipework systems</t>
  </si>
  <si>
    <t xml:space="preserve">Pressure testing of pipework installations</t>
  </si>
  <si>
    <t xml:space="preserve">Air tightness testing of ductwork systems</t>
  </si>
  <si>
    <t xml:space="preserve">Electrical testing and certification</t>
  </si>
  <si>
    <t xml:space="preserve">System balancing of mechanical services</t>
  </si>
  <si>
    <t xml:space="preserve">Calibration of controls and sensors</t>
  </si>
  <si>
    <t xml:space="preserve">Functional performance testing of systems</t>
  </si>
  <si>
    <t xml:space="preserve">Integration testing of building systems</t>
  </si>
  <si>
    <t xml:space="preserve">Testing of life safety systems</t>
  </si>
  <si>
    <t xml:space="preserve">Commissioning of building management systems</t>
  </si>
  <si>
    <t xml:space="preserve">Seasonal commissioning and adjustments</t>
  </si>
  <si>
    <t xml:space="preserve">Provision of test records and documentation</t>
  </si>
  <si>
    <t xml:space="preserve">Training of client personnel</t>
  </si>
  <si>
    <t xml:space="preserve">Demonstration of systems operation</t>
  </si>
  <si>
    <t xml:space="preserve">Handover and commissioning certification</t>
  </si>
  <si>
    <t xml:space="preserve">General preliminaries specific to prefabricated buildings</t>
  </si>
  <si>
    <t xml:space="preserve">Setting out of prefabricated building layouts and positions</t>
  </si>
  <si>
    <t xml:space="preserve">Coordination with structure and other elements</t>
  </si>
  <si>
    <t xml:space="preserve">Off-site fabrication of modular units</t>
  </si>
  <si>
    <t xml:space="preserve">Transportation and delivery of prefabricated units</t>
  </si>
  <si>
    <t xml:space="preserve">Cranage and installation of modular units</t>
  </si>
  <si>
    <t xml:space="preserve">Structural connections between prefabricated elements</t>
  </si>
  <si>
    <t xml:space="preserve">Floor systems within prefabricated units</t>
  </si>
  <si>
    <t xml:space="preserve">Wall systems within prefabricated units</t>
  </si>
  <si>
    <t xml:space="preserve">Roof systems within prefabricated units</t>
  </si>
  <si>
    <t xml:space="preserve">External envelope and cladding to units</t>
  </si>
  <si>
    <t xml:space="preserve">Internal finishes within prefabricated units</t>
  </si>
  <si>
    <t xml:space="preserve">Windows and external doors within units</t>
  </si>
  <si>
    <t xml:space="preserve">Integration of mechanical and electrical services</t>
  </si>
  <si>
    <t xml:space="preserve">Service connections between modules</t>
  </si>
  <si>
    <t xml:space="preserve">Weatherproofing and sealing of joints</t>
  </si>
  <si>
    <t xml:space="preserve">Fire stopping between modular units</t>
  </si>
  <si>
    <t xml:space="preserve">Movement joints and tolerances between units</t>
  </si>
  <si>
    <t xml:space="preserve">Supports, bearings, and foundations interfaces</t>
  </si>
  <si>
    <t xml:space="preserve">General preliminaries specific to minor demolition and alteration works</t>
  </si>
  <si>
    <t xml:space="preserve">Setting out of demolition and alteration extents</t>
  </si>
  <si>
    <t xml:space="preserve">Temporary works, supports, and protection</t>
  </si>
  <si>
    <t xml:space="preserve">Isolation of existing services</t>
  </si>
  <si>
    <t xml:space="preserve">Soft strip removal (fixtures, fittings, finishes)</t>
  </si>
  <si>
    <t xml:space="preserve">Removal of internal partitions and non-structural walls</t>
  </si>
  <si>
    <t xml:space="preserve">Removal of doors, windows, and frames</t>
  </si>
  <si>
    <t xml:space="preserve">Removal of floor, wall, and ceiling finishes</t>
  </si>
  <si>
    <t xml:space="preserve">Breaking out of concrete and masonry elements</t>
  </si>
  <si>
    <t xml:space="preserve">Forming openings in existing structures</t>
  </si>
  <si>
    <t xml:space="preserve">Alterations to structural elements (beams, slabs, walls)</t>
  </si>
  <si>
    <t xml:space="preserve">Making good to existing structures</t>
  </si>
  <si>
    <t xml:space="preserve">Protection of retained elements</t>
  </si>
  <si>
    <t xml:space="preserve">Temporary weatherproofing and making safe</t>
  </si>
  <si>
    <t xml:space="preserve">Handling and disposal of demolition materials</t>
  </si>
  <si>
    <t xml:space="preserve">Hazardous material removal (e.g. asbestos where applicable)</t>
  </si>
  <si>
    <t xml:space="preserve">Cleaning and preparation of surfaces</t>
  </si>
  <si>
    <t xml:space="preserve">Reinstatement works and alterations</t>
  </si>
  <si>
    <t xml:space="preserve">Coordination with new works and interfaces</t>
  </si>
  <si>
    <t xml:space="preserve">General preliminaries specific to repairs to existing services</t>
  </si>
  <si>
    <t xml:space="preserve">Setting out of repair extents and affected areas</t>
  </si>
  <si>
    <t xml:space="preserve">Coordination with existing services and new works</t>
  </si>
  <si>
    <t xml:space="preserve">Isolation and safe disconnection of services</t>
  </si>
  <si>
    <t xml:space="preserve">Inspection and condition assessment of existing systems</t>
  </si>
  <si>
    <t xml:space="preserve">Removal of defective service components</t>
  </si>
  <si>
    <t xml:space="preserve">Repair of pipework systems</t>
  </si>
  <si>
    <t xml:space="preserve">Repair of ductwork systems</t>
  </si>
  <si>
    <t xml:space="preserve">Repair of electrical wiring and containment</t>
  </si>
  <si>
    <t xml:space="preserve">Replacement of damaged valves and fittings</t>
  </si>
  <si>
    <t xml:space="preserve">Repair of pumps and mechanical equipment</t>
  </si>
  <si>
    <t xml:space="preserve">Repair of control systems and components</t>
  </si>
  <si>
    <t xml:space="preserve">Reinstatement of insulation to services</t>
  </si>
  <si>
    <t xml:space="preserve">Cleaning and flushing of systems</t>
  </si>
  <si>
    <t xml:space="preserve">Testing of repaired service installations</t>
  </si>
  <si>
    <t xml:space="preserve">Recommissioning of existing systems</t>
  </si>
  <si>
    <t xml:space="preserve">Upgrading of minor service components</t>
  </si>
  <si>
    <t xml:space="preserve">Making good to finishes affected by repairs</t>
  </si>
  <si>
    <t xml:space="preserve">Protection of existing systems during works</t>
  </si>
  <si>
    <t xml:space="preserve">Completion and handover of repaired services</t>
  </si>
  <si>
    <t xml:space="preserve">General preliminaries specific to damp proofing and timber treatment works</t>
  </si>
  <si>
    <t xml:space="preserve">Setting out of treatment areas and extents</t>
  </si>
  <si>
    <t xml:space="preserve">Coordination with existing structure and finishes</t>
  </si>
  <si>
    <t xml:space="preserve">Inspection and condition assessment of affected areas</t>
  </si>
  <si>
    <t xml:space="preserve">Removal of contaminated or decayed materials</t>
  </si>
  <si>
    <t xml:space="preserve">Preparation of surfaces for treatment</t>
  </si>
  <si>
    <t xml:space="preserve">Installation of chemical damp proof courses</t>
  </si>
  <si>
    <t xml:space="preserve">Installation of physical damp proof membranes</t>
  </si>
  <si>
    <t xml:space="preserve">Cavity tray installation and repairs</t>
  </si>
  <si>
    <t xml:space="preserve">Tank waterproofing systems to walls and floors</t>
  </si>
  <si>
    <t xml:space="preserve">Application of surface damp proof coatings</t>
  </si>
  <si>
    <t xml:space="preserve">Timber treatment for fungal decay (wet rot/dry rot)</t>
  </si>
  <si>
    <t xml:space="preserve">Timber treatment for insect infestation (beetles)</t>
  </si>
  <si>
    <t xml:space="preserve">Replacement of severely damaged timber elements</t>
  </si>
  <si>
    <t xml:space="preserve">Ventilation improvements to affected areas</t>
  </si>
  <si>
    <t xml:space="preserve">Moisture control and drying measures</t>
  </si>
  <si>
    <t xml:space="preserve">Reinstatement of finishes following treatment</t>
  </si>
  <si>
    <t xml:space="preserve">Protection of adjacent areas during works</t>
  </si>
  <si>
    <t xml:space="preserve">Testing and certification of treatments</t>
  </si>
  <si>
    <t xml:space="preserve">Completion and handover documentation</t>
  </si>
  <si>
    <t xml:space="preserve">General preliminaries specific to facade retention works</t>
  </si>
  <si>
    <t xml:space="preserve">Setting out of retained facade lines and extents</t>
  </si>
  <si>
    <t xml:space="preserve">Structural surveys and condition assessment</t>
  </si>
  <si>
    <t xml:space="preserve">Design and installation of temporary works for retention</t>
  </si>
  <si>
    <t xml:space="preserve">Installation of facade retention frames and bracing</t>
  </si>
  <si>
    <t xml:space="preserve">Needling, propping, and lateral support to existing walls</t>
  </si>
  <si>
    <t xml:space="preserve">Temporary foundations and bearing supports</t>
  </si>
  <si>
    <t xml:space="preserve">Monitoring of movement and structural stability</t>
  </si>
  <si>
    <t xml:space="preserve">Careful demolition of adjoining structures</t>
  </si>
  <si>
    <t xml:space="preserve">Protection of retained facade and features</t>
  </si>
  <si>
    <t xml:space="preserve">Temporary weatherproofing to retained facade</t>
  </si>
  <si>
    <t xml:space="preserve">Alterations to existing openings and features</t>
  </si>
  <si>
    <t xml:space="preserve">Repair and stabilisation of existing masonry</t>
  </si>
  <si>
    <t xml:space="preserve">Cleaning and restoration of facade finishes</t>
  </si>
  <si>
    <t xml:space="preserve">Replacement of defective or damaged elements</t>
  </si>
  <si>
    <t xml:space="preserve">Integration of retained facade with new structure</t>
  </si>
  <si>
    <t xml:space="preserve">Formation of permanent structural connections</t>
  </si>
  <si>
    <t xml:space="preserve">Removal of temporary works and supports</t>
  </si>
  <si>
    <t xml:space="preserve">Making good to retained facade and interfaces</t>
  </si>
  <si>
    <t xml:space="preserve">Completion and handover requirements</t>
  </si>
  <si>
    <t xml:space="preserve">General preliminaries specific to cleaning of existing surfaces</t>
  </si>
  <si>
    <t xml:space="preserve">Setting out of cleaning areas and extents</t>
  </si>
  <si>
    <t xml:space="preserve">Protection of adjacent surfaces and elements</t>
  </si>
  <si>
    <t xml:space="preserve">Access equipment and temporary works for cleaning</t>
  </si>
  <si>
    <t xml:space="preserve">Removal of loose debris and surface contaminants</t>
  </si>
  <si>
    <t xml:space="preserve">Washing and cleaning of external surfaces</t>
  </si>
  <si>
    <t xml:space="preserve">Washing and cleaning of internal surfaces</t>
  </si>
  <si>
    <t xml:space="preserve">High-pressure water cleaning</t>
  </si>
  <si>
    <t xml:space="preserve">Low-pressure and steam cleaning</t>
  </si>
  <si>
    <t xml:space="preserve">Chemical cleaning treatments</t>
  </si>
  <si>
    <t xml:space="preserve">Abrasive cleaning methods (where permitted)</t>
  </si>
  <si>
    <t xml:space="preserve">Cleaning of masonry and brickwork surfaces</t>
  </si>
  <si>
    <t xml:space="preserve">Cleaning of concrete and stone surfaces</t>
  </si>
  <si>
    <t xml:space="preserve">Cleaning of metal surfaces</t>
  </si>
  <si>
    <t xml:space="preserve">Cleaning of glazed surfaces and windows</t>
  </si>
  <si>
    <t xml:space="preserve">Graffiti removal and surface treatment</t>
  </si>
  <si>
    <t xml:space="preserve">Stain removal and specialist cleaning</t>
  </si>
  <si>
    <t xml:space="preserve">Disposal of cleaning residues and waste</t>
  </si>
  <si>
    <t xml:space="preserve">Completion and final cleaning</t>
  </si>
  <si>
    <t xml:space="preserve">General preliminaries specific to renovation works</t>
  </si>
  <si>
    <t xml:space="preserve">Setting out of renovation areas and extents</t>
  </si>
  <si>
    <t xml:space="preserve">Coordination with existing structure and new works</t>
  </si>
  <si>
    <t xml:space="preserve">Surveys and condition assessment of existing building</t>
  </si>
  <si>
    <t xml:space="preserve">Protection of retained elements and finishes</t>
  </si>
  <si>
    <t xml:space="preserve">Temporary works and access for renovation</t>
  </si>
  <si>
    <t xml:space="preserve">Isolation and modification of existing services</t>
  </si>
  <si>
    <t xml:space="preserve">Removal of defective or obsolete materials</t>
  </si>
  <si>
    <t xml:space="preserve">Alterations to existing structural elements</t>
  </si>
  <si>
    <t xml:space="preserve">Repair and strengthening of existing structure</t>
  </si>
  <si>
    <t xml:space="preserve">Upgrading of existing building fabric</t>
  </si>
  <si>
    <t xml:space="preserve">Replacement of finishes to walls, floors, and ceilings</t>
  </si>
  <si>
    <t xml:space="preserve">Refurbishment of doors, windows, and joinery</t>
  </si>
  <si>
    <t xml:space="preserve">Upgrading of thermal and acoustic performance</t>
  </si>
  <si>
    <t xml:space="preserve">Fire protection upgrades to existing elements</t>
  </si>
  <si>
    <t xml:space="preserve">Integration of new services into existing building</t>
  </si>
  <si>
    <t xml:space="preserve">Making good to disturbed areas</t>
  </si>
  <si>
    <t xml:space="preserve">Cleaning and preparation of refurbished areas</t>
  </si>
  <si>
    <t xml:space="preserve">Testing and commissioning of upgraded systems</t>
  </si>
  <si>
    <t xml:space="preserve">Completion and handover of renovation works</t>
  </si>
  <si>
    <t xml:space="preserve">General preliminaries specific to site preparation works</t>
  </si>
  <si>
    <t xml:space="preserve">Setting out of site boundaries and levels</t>
  </si>
  <si>
    <t xml:space="preserve">Site clearance and removal of vegetation</t>
  </si>
  <si>
    <t xml:space="preserve">Removal of topsoil and organic material</t>
  </si>
  <si>
    <t xml:space="preserve">Disposal of excavated and unsuitable material</t>
  </si>
  <si>
    <t xml:space="preserve">Site stripping and preparation of formation levels</t>
  </si>
  <si>
    <t xml:space="preserve">Temporary access roads and hardstandings</t>
  </si>
  <si>
    <t xml:space="preserve">Temporary fencing, hoardings, and security</t>
  </si>
  <si>
    <t xml:space="preserve">Protection of existing features and services</t>
  </si>
  <si>
    <t xml:space="preserve">Diversion and protection of existing services</t>
  </si>
  <si>
    <t xml:space="preserve">Bulk earthworks and regrading of site</t>
  </si>
  <si>
    <t xml:space="preserve">Cut and fill operations</t>
  </si>
  <si>
    <t xml:space="preserve">Ground remediation and treatment works</t>
  </si>
  <si>
    <t xml:space="preserve">Breaking up and removal of existing hardstandings</t>
  </si>
  <si>
    <t xml:space="preserve">Removal of underground obstructions</t>
  </si>
  <si>
    <t xml:space="preserve">Dewatering and groundwater control measures</t>
  </si>
  <si>
    <t xml:space="preserve">Stabilisation and compaction of subgrade</t>
  </si>
  <si>
    <t xml:space="preserve">Temporary drainage and site runoff control</t>
  </si>
  <si>
    <t xml:space="preserve">Preparation of sub-base for construction works</t>
  </si>
  <si>
    <t xml:space="preserve">Completion and final site preparation</t>
  </si>
  <si>
    <t xml:space="preserve">General preliminaries specific to roads, paths, pavings and surfacings</t>
  </si>
  <si>
    <t xml:space="preserve">Setting out of roads, paths, and paved areas</t>
  </si>
  <si>
    <t xml:space="preserve">Coordination with site levels and drainage</t>
  </si>
  <si>
    <t xml:space="preserve">Excavation and preparation of formation levels</t>
  </si>
  <si>
    <t xml:space="preserve">Sub-base construction and compaction</t>
  </si>
  <si>
    <t xml:space="preserve">Road base and binder course layers</t>
  </si>
  <si>
    <t xml:space="preserve">Asphalt and bituminous surfacing</t>
  </si>
  <si>
    <t xml:space="preserve">Concrete paving and hardstandings</t>
  </si>
  <si>
    <t xml:space="preserve">Block paving systems</t>
  </si>
  <si>
    <t xml:space="preserve">Natural stone paving</t>
  </si>
  <si>
    <t xml:space="preserve">Kerbs, edgings, and channels</t>
  </si>
  <si>
    <t xml:space="preserve">Surface water drainage interfaces (gullies, channels)</t>
  </si>
  <si>
    <t xml:space="preserve">Tactile paving and accessibility features</t>
  </si>
  <si>
    <t xml:space="preserve">Line marking and road signage</t>
  </si>
  <si>
    <t xml:space="preserve">Speed control measures (ramps, humps)</t>
  </si>
  <si>
    <t xml:space="preserve">Vehicle restraint systems and bollards</t>
  </si>
  <si>
    <t xml:space="preserve">Footpaths and pedestrian routes</t>
  </si>
  <si>
    <t xml:space="preserve">Sealing, jointing, and surface finishes</t>
  </si>
  <si>
    <t xml:space="preserve">Protection of completed surfaces</t>
  </si>
  <si>
    <t xml:space="preserve">General preliminaries specific to soft landscaping works</t>
  </si>
  <si>
    <t xml:space="preserve">Setting out of planting areas and landscape features</t>
  </si>
  <si>
    <t xml:space="preserve">Coordination with site levels and external works</t>
  </si>
  <si>
    <t xml:space="preserve">Topsoil preparation and cultivation</t>
  </si>
  <si>
    <t xml:space="preserve">Importation and spreading of topsoil</t>
  </si>
  <si>
    <t xml:space="preserve">Soil improvement and conditioning</t>
  </si>
  <si>
    <t xml:space="preserve">Turfing and seeding of grassed areas</t>
  </si>
  <si>
    <t xml:space="preserve">Hydroseeding and specialist seeding methods</t>
  </si>
  <si>
    <t xml:space="preserve">Planting of trees</t>
  </si>
  <si>
    <t xml:space="preserve">Planting of shrubs and hedges</t>
  </si>
  <si>
    <t xml:space="preserve">Planting of herbaceous and seasonal plants</t>
  </si>
  <si>
    <t xml:space="preserve">Planting of climbers and ground cover</t>
  </si>
  <si>
    <t xml:space="preserve">Tree pits, root barriers, and supports</t>
  </si>
  <si>
    <t xml:space="preserve">Mulching to planting areas</t>
  </si>
  <si>
    <t xml:space="preserve">Irrigation systems (pipework and distribution)</t>
  </si>
  <si>
    <t xml:space="preserve">Irrigation controls and equipment</t>
  </si>
  <si>
    <t xml:space="preserve">Drainage to planting areas</t>
  </si>
  <si>
    <t xml:space="preserve">Protection of planting during establishment</t>
  </si>
  <si>
    <t xml:space="preserve">Maintenance and establishment period works</t>
  </si>
  <si>
    <t xml:space="preserve">Completion and handover of landscaping works</t>
  </si>
  <si>
    <t xml:space="preserve">General preliminaries specific to fencing, railings and walls</t>
  </si>
  <si>
    <t xml:space="preserve">Setting out of fence lines and wall positions</t>
  </si>
  <si>
    <t xml:space="preserve">Coordination with site levels and boundaries</t>
  </si>
  <si>
    <t xml:space="preserve">Excavation for post holes and foundations</t>
  </si>
  <si>
    <t xml:space="preserve">Concrete foundations to posts and walls</t>
  </si>
  <si>
    <t xml:space="preserve">Timber fencing systems</t>
  </si>
  <si>
    <t xml:space="preserve">Metal fencing systems (mesh, palisade)</t>
  </si>
  <si>
    <t xml:space="preserve">Security fencing systems</t>
  </si>
  <si>
    <t xml:space="preserve">Timber gates and access points</t>
  </si>
  <si>
    <t xml:space="preserve">Metal gates and access points</t>
  </si>
  <si>
    <t xml:space="preserve">Automated gates and control systems</t>
  </si>
  <si>
    <t xml:space="preserve">Railings and balustrade systems</t>
  </si>
  <si>
    <t xml:space="preserve">Masonry boundary walls (brickwork/blockwork)</t>
  </si>
  <si>
    <t xml:space="preserve">Precast concrete wall systems</t>
  </si>
  <si>
    <t xml:space="preserve">Retaining walls associated with boundaries</t>
  </si>
  <si>
    <t xml:space="preserve">Posts, fixings, and support systems</t>
  </si>
  <si>
    <t xml:space="preserve">Protective coatings and finishes</t>
  </si>
  <si>
    <t xml:space="preserve">Integration with landscaping and external works</t>
  </si>
  <si>
    <t xml:space="preserve">Protection of installed fencing and walls</t>
  </si>
  <si>
    <t xml:space="preserve">General preliminaries specific to external fixtures</t>
  </si>
  <si>
    <t xml:space="preserve">Setting out of external fixture locations</t>
  </si>
  <si>
    <t xml:space="preserve">Coordination with external works and services</t>
  </si>
  <si>
    <t xml:space="preserve">External lighting fixtures and columns</t>
  </si>
  <si>
    <t xml:space="preserve">Bollards and protective barriers</t>
  </si>
  <si>
    <t xml:space="preserve">Cycle stands and storage units</t>
  </si>
  <si>
    <t xml:space="preserve">Street furniture (benches, seats)</t>
  </si>
  <si>
    <t xml:space="preserve">Litter bins and waste receptacles</t>
  </si>
  <si>
    <t xml:space="preserve">Signage and wayfinding fixtures</t>
  </si>
  <si>
    <t xml:space="preserve">Flagpoles and associated fittings</t>
  </si>
  <si>
    <t xml:space="preserve">Canopies and shelters</t>
  </si>
  <si>
    <t xml:space="preserve">External staircases and ladders</t>
  </si>
  <si>
    <t xml:space="preserve">Access platforms and walkways</t>
  </si>
  <si>
    <t xml:space="preserve">Play equipment and recreational fixtures</t>
  </si>
  <si>
    <t xml:space="preserve">Public art and feature installations</t>
  </si>
  <si>
    <t xml:space="preserve">Water features and fountains</t>
  </si>
  <si>
    <t xml:space="preserve">External service kiosks and cabinets</t>
  </si>
  <si>
    <t xml:space="preserve">Fixings, foundations, and supports</t>
  </si>
  <si>
    <t xml:space="preserve">General preliminaries specific to external drainage works</t>
  </si>
  <si>
    <t xml:space="preserve">Setting out of drainage runs and levels</t>
  </si>
  <si>
    <t xml:space="preserve">Excavation for drainage trenches</t>
  </si>
  <si>
    <t xml:space="preserve">Bedding and surround to drainage pipes</t>
  </si>
  <si>
    <t xml:space="preserve">Foul water drainage pipework</t>
  </si>
  <si>
    <t xml:space="preserve">Surface water drainage pipework</t>
  </si>
  <si>
    <t xml:space="preserve">Combined drainage systems</t>
  </si>
  <si>
    <t xml:space="preserve">Manholes and inspection chambers</t>
  </si>
  <si>
    <t xml:space="preserve">Catch pits and silt traps</t>
  </si>
  <si>
    <t xml:space="preserve">Gullies and surface water inlets</t>
  </si>
  <si>
    <t xml:space="preserve">Linear drainage channels</t>
  </si>
  <si>
    <t xml:space="preserve">Soakaways and infiltration systems</t>
  </si>
  <si>
    <t xml:space="preserve">Attenuation tanks and storage systems</t>
  </si>
  <si>
    <t xml:space="preserve">Outfalls and connections to existing systems</t>
  </si>
  <si>
    <t xml:space="preserve">Backfilling and compaction to trenches</t>
  </si>
  <si>
    <t xml:space="preserve">Testing of drainage systems</t>
  </si>
  <si>
    <t xml:space="preserve">Connection to mains drainage services</t>
  </si>
  <si>
    <t xml:space="preserve">Protection of installed drainage systems</t>
  </si>
  <si>
    <t xml:space="preserve">General preliminaries specific to external services</t>
  </si>
  <si>
    <t xml:space="preserve">Setting out of external services routes and locations</t>
  </si>
  <si>
    <t xml:space="preserve">Coordination with site layout and external works</t>
  </si>
  <si>
    <t xml:space="preserve">Excavation for service trenches</t>
  </si>
  <si>
    <t xml:space="preserve">Bedding and surround to service ducts and pipes</t>
  </si>
  <si>
    <t xml:space="preserve">Incoming water supply services</t>
  </si>
  <si>
    <t xml:space="preserve">External foul and surface water service connections</t>
  </si>
  <si>
    <t xml:space="preserve">Gas supply installations</t>
  </si>
  <si>
    <t xml:space="preserve">Electrical supply and distribution cabling</t>
  </si>
  <si>
    <t xml:space="preserve">Street lighting installations</t>
  </si>
  <si>
    <t xml:space="preserve">External communication and data cabling</t>
  </si>
  <si>
    <t xml:space="preserve">Ducting systems for services</t>
  </si>
  <si>
    <t xml:space="preserve">Service chambers and draw pits</t>
  </si>
  <si>
    <t xml:space="preserve">Substations and service kiosks</t>
  </si>
  <si>
    <t xml:space="preserve">Metering equipment and service connections</t>
  </si>
  <si>
    <t xml:space="preserve">Backfilling and reinstatement of trenches</t>
  </si>
  <si>
    <t xml:space="preserve">Testing and commissioning of external services</t>
  </si>
  <si>
    <t xml:space="preserve">Connection to mains and statutory undertakers</t>
  </si>
  <si>
    <t xml:space="preserve">Protection of installed services</t>
  </si>
  <si>
    <t xml:space="preserve">General preliminaries specific to minor building works and ancillary buildings</t>
  </si>
  <si>
    <t xml:space="preserve">Setting out of minor works and ancillary structures</t>
  </si>
  <si>
    <t xml:space="preserve">Coordination with site layout and existing buildings</t>
  </si>
  <si>
    <t xml:space="preserve">Foundations to minor structures</t>
  </si>
  <si>
    <t xml:space="preserve">Substructure works to ancillary buildings</t>
  </si>
  <si>
    <t xml:space="preserve">Superstructure walls to minor buildings</t>
  </si>
  <si>
    <t xml:space="preserve">Roof structures and coverings to ancillary buildings</t>
  </si>
  <si>
    <t xml:space="preserve">External doors and windows to minor buildings</t>
  </si>
  <si>
    <t xml:space="preserve">Internal partitions and linings</t>
  </si>
  <si>
    <t xml:space="preserve">Internal wall finishes</t>
  </si>
  <si>
    <t xml:space="preserve">Floor finishes within ancillary buildings</t>
  </si>
  <si>
    <t xml:space="preserve">Ceiling finishes within ancillary buildings</t>
  </si>
  <si>
    <t xml:space="preserve">Small scale mechanical installations</t>
  </si>
  <si>
    <t xml:space="preserve">Small scale electrical installations</t>
  </si>
  <si>
    <t xml:space="preserve">External works associated with ancillary buildings</t>
  </si>
  <si>
    <t xml:space="preserve">Connection of services to ancillary buildings</t>
  </si>
  <si>
    <t xml:space="preserve">Fixtures and fittings within ancillary buildings</t>
  </si>
  <si>
    <t xml:space="preserve">Protection of completed works</t>
  </si>
  <si>
    <t xml:space="preserve">Making good and finishing works</t>
  </si>
  <si>
    <t xml:space="preserve">General preliminaries and project setup</t>
  </si>
  <si>
    <t xml:space="preserve">Contract conditions and management requirements</t>
  </si>
  <si>
    <t xml:space="preserve">Site establishment and mobilisation</t>
  </si>
  <si>
    <t xml:space="preserve">Site accommodation and welfare facilities</t>
  </si>
  <si>
    <t xml:space="preserve">Temporary services (water, power, lighting)</t>
  </si>
  <si>
    <t xml:space="preserve">Temporary roads, access, and hardstandings</t>
  </si>
  <si>
    <t xml:space="preserve">Hoardings, fencing, and site security</t>
  </si>
  <si>
    <t xml:space="preserve">Health and safety management and compliance</t>
  </si>
  <si>
    <t xml:space="preserve">Environmental protection and sustainability measures</t>
  </si>
  <si>
    <t xml:space="preserve">Site supervision and management staff</t>
  </si>
  <si>
    <t xml:space="preserve">Temporary works and support systems</t>
  </si>
  <si>
    <t xml:space="preserve">Traffic management and logistics planning</t>
  </si>
  <si>
    <t xml:space="preserve">Material handling and storage facilities</t>
  </si>
  <si>
    <t xml:space="preserve">Protection of works and adjacent properties</t>
  </si>
  <si>
    <t xml:space="preserve">Cleaning and housekeeping of site</t>
  </si>
  <si>
    <t xml:space="preserve">Waste management and disposal</t>
  </si>
  <si>
    <t xml:space="preserve">Insurances, bonds, and statutory fees</t>
  </si>
  <si>
    <t xml:space="preserve">Programme management and reporting</t>
  </si>
  <si>
    <t xml:space="preserve">Testing, commissioning, and quality assurance support</t>
  </si>
  <si>
    <t xml:space="preserve">Demobilisation and site clearance</t>
  </si>
  <si>
    <t xml:space="preserve">General overheads and profit allowance</t>
  </si>
  <si>
    <t xml:space="preserve">Head office management and administration costs</t>
  </si>
  <si>
    <t xml:space="preserve">Regional and project support staff costs</t>
  </si>
  <si>
    <t xml:space="preserve">Company overhead recovery</t>
  </si>
  <si>
    <t xml:space="preserve">Project-specific overhead allocation</t>
  </si>
  <si>
    <t xml:space="preserve">Site overhead recovery not included in preliminaries</t>
  </si>
  <si>
    <t xml:space="preserve">Insurance and risk allowances</t>
  </si>
  <si>
    <t xml:space="preserve">Financing costs and cash flow management</t>
  </si>
  <si>
    <t xml:space="preserve">Tendering and bid preparation costs recovery</t>
  </si>
  <si>
    <t xml:space="preserve">Contract administration and legal support</t>
  </si>
  <si>
    <t xml:space="preserve">Commercial management and cost control</t>
  </si>
  <si>
    <t xml:space="preserve">Procurement and supply chain management</t>
  </si>
  <si>
    <t xml:space="preserve">Quality assurance and compliance management</t>
  </si>
  <si>
    <t xml:space="preserve">Health and safety management overheads</t>
  </si>
  <si>
    <t xml:space="preserve">Environmental management overheads</t>
  </si>
  <si>
    <t xml:space="preserve">Information technology and systems support</t>
  </si>
  <si>
    <t xml:space="preserve">Temporary works design overhead contribution</t>
  </si>
  <si>
    <t xml:space="preserve">Contingency allowance within overheads</t>
  </si>
  <si>
    <t xml:space="preserve">Profit margin on construction works</t>
  </si>
  <si>
    <t xml:space="preserve">Profit adjustment for project risk and complexity</t>
  </si>
  <si>
    <t xml:space="preserve">General consultant fees and allowances</t>
  </si>
  <si>
    <t xml:space="preserve">Architectural design fees</t>
  </si>
  <si>
    <t xml:space="preserve">Structural engineering fees</t>
  </si>
  <si>
    <t xml:space="preserve">Mechanical and electrical engineering fees</t>
  </si>
  <si>
    <t xml:space="preserve">Civil engineering and infrastructure fees</t>
  </si>
  <si>
    <t xml:space="preserve">Quantity surveying and cost consultancy fees</t>
  </si>
  <si>
    <t xml:space="preserve">Project management and employer’s agent fees</t>
  </si>
  <si>
    <t xml:space="preserve">Planning consultant fees</t>
  </si>
  <si>
    <t xml:space="preserve">Building regulations and compliance fees</t>
  </si>
  <si>
    <t xml:space="preserve">CDM principal designer duties and fees</t>
  </si>
  <si>
    <t xml:space="preserve">Sustainability and environmental consultancy fees</t>
  </si>
  <si>
    <t xml:space="preserve">Acoustic consultancy fees</t>
  </si>
  <si>
    <t xml:space="preserve">Fire engineering consultancy fees</t>
  </si>
  <si>
    <t xml:space="preserve">Facade engineering consultancy fees</t>
  </si>
  <si>
    <t xml:space="preserve">Geotechnical and ground investigation fees</t>
  </si>
  <si>
    <t xml:space="preserve">Surveying and measured survey fees</t>
  </si>
  <si>
    <t xml:space="preserve">BIM and digital coordination consultancy fees</t>
  </si>
  <si>
    <t xml:space="preserve">Specialist consultant fees (project specific)</t>
  </si>
  <si>
    <t xml:space="preserve">Statutory application and approval fees</t>
  </si>
  <si>
    <t xml:space="preserve">Reimbursable expenses and disbursements</t>
  </si>
  <si>
    <t xml:space="preserve">General preliminaries specific to pre-construction services</t>
  </si>
  <si>
    <t xml:space="preserve">Tendering and bid preparation activities</t>
  </si>
  <si>
    <t xml:space="preserve">Pre-construction planning and programming</t>
  </si>
  <si>
    <t xml:space="preserve">Design development support and coordination</t>
  </si>
  <si>
    <t xml:space="preserve">Buildability and value engineering reviews</t>
  </si>
  <si>
    <t xml:space="preserve">Cost planning and estimating support</t>
  </si>
  <si>
    <t xml:space="preserve">Procurement strategy and package planning</t>
  </si>
  <si>
    <t xml:space="preserve">Supply chain engagement and early contractor involvement</t>
  </si>
  <si>
    <t xml:space="preserve">Site investigations and surveys coordination</t>
  </si>
  <si>
    <t xml:space="preserve">Temporary works design development</t>
  </si>
  <si>
    <t xml:space="preserve">Construction methodology development</t>
  </si>
  <si>
    <t xml:space="preserve">Risk identification and mitigation planning</t>
  </si>
  <si>
    <t xml:space="preserve">Health and safety planning (pre-construction phase)</t>
  </si>
  <si>
    <t xml:space="preserve">Environmental and sustainability planning</t>
  </si>
  <si>
    <t xml:space="preserve">Logistics and phasing strategy development</t>
  </si>
  <si>
    <t xml:space="preserve">Design coordination meetings and workshops</t>
  </si>
  <si>
    <t xml:space="preserve">BIM coordination and digital modelling support</t>
  </si>
  <si>
    <t xml:space="preserve">Statutory approvals and liaison support</t>
  </si>
  <si>
    <t xml:space="preserve">Pre-construction reporting and documentation</t>
  </si>
  <si>
    <t xml:space="preserve">Handover from pre-construction to construction phase</t>
  </si>
  <si>
    <t xml:space="preserve">General preliminaries specific to contractor’s design fees</t>
  </si>
  <si>
    <t xml:space="preserve">Contractor’s design management and coordination</t>
  </si>
  <si>
    <t xml:space="preserve">Architectural design by contractor</t>
  </si>
  <si>
    <t xml:space="preserve">Structural design by contractor</t>
  </si>
  <si>
    <t xml:space="preserve">Mechanical services design by contractor</t>
  </si>
  <si>
    <t xml:space="preserve">Electrical services design by contractor</t>
  </si>
  <si>
    <t xml:space="preserve">Civil and infrastructure design by contractor</t>
  </si>
  <si>
    <t xml:space="preserve">Temporary works design</t>
  </si>
  <si>
    <t xml:space="preserve">Facade and cladding design</t>
  </si>
  <si>
    <t xml:space="preserve">Specialist subcontractor design elements</t>
  </si>
  <si>
    <t xml:space="preserve">Shop drawings and detailed design development</t>
  </si>
  <si>
    <t xml:space="preserve">Design integration and coordination</t>
  </si>
  <si>
    <t xml:space="preserve">BIM modelling and digital design development</t>
  </si>
  <si>
    <t xml:space="preserve">Design reviews and approvals</t>
  </si>
  <si>
    <t xml:space="preserve">Value engineering and design optimisation</t>
  </si>
  <si>
    <t xml:space="preserve">Compliance with statutory requirements</t>
  </si>
  <si>
    <t xml:space="preserve">Design risk assessments and mitigation</t>
  </si>
  <si>
    <t xml:space="preserve">Preparation of as-built drawings and records</t>
  </si>
  <si>
    <t xml:space="preserve">Operation and maintenance information</t>
  </si>
  <si>
    <t xml:space="preserve">Design handover and certification</t>
  </si>
  <si>
    <t xml:space="preserve">General allowance for design development risks</t>
  </si>
  <si>
    <t xml:space="preserve">Incomplete design information at tender stage</t>
  </si>
  <si>
    <t xml:space="preserve">Changes arising from design coordination</t>
  </si>
  <si>
    <t xml:space="preserve">Architectural design development changes</t>
  </si>
  <si>
    <t xml:space="preserve">Structural design development changes</t>
  </si>
  <si>
    <t xml:space="preserve">Mechanical and electrical design development changes</t>
  </si>
  <si>
    <t xml:space="preserve">Coordination between building elements and services</t>
  </si>
  <si>
    <t xml:space="preserve">Changes due to statutory approvals and compliance</t>
  </si>
  <si>
    <t xml:space="preserve">Planning condition requirements and amendments</t>
  </si>
  <si>
    <t xml:space="preserve">Building regulations and technical compliance changes</t>
  </si>
  <si>
    <t xml:space="preserve">Client-driven design changes</t>
  </si>
  <si>
    <t xml:space="preserve">Value engineering and specification changes</t>
  </si>
  <si>
    <t xml:space="preserve">Interface risks between contractor and designer</t>
  </si>
  <si>
    <t xml:space="preserve">Temporary works design development risks</t>
  </si>
  <si>
    <t xml:space="preserve">Changes due to unforeseen site conditions</t>
  </si>
  <si>
    <t xml:space="preserve">Integration with existing structures and services</t>
  </si>
  <si>
    <t xml:space="preserve">Supplier and specialist design development changes</t>
  </si>
  <si>
    <t xml:space="preserve">Programme impacts from design evolution</t>
  </si>
  <si>
    <t xml:space="preserve">Cost fluctuations due to design refinement</t>
  </si>
  <si>
    <t xml:space="preserve">Finalisation of design details and specifications</t>
  </si>
  <si>
    <t xml:space="preserve">General allowance for construction risks</t>
  </si>
  <si>
    <t xml:space="preserve">Unforeseen ground conditions during construction</t>
  </si>
  <si>
    <t xml:space="preserve">Adverse weather impacts on construction activities</t>
  </si>
  <si>
    <t xml:space="preserve">Delays due to site access and logistics constraints</t>
  </si>
  <si>
    <t xml:space="preserve">Interface risks between trades and subcontractors</t>
  </si>
  <si>
    <t xml:space="preserve">Labour availability and productivity risks</t>
  </si>
  <si>
    <t xml:space="preserve">Material availability and lead time risks</t>
  </si>
  <si>
    <t xml:space="preserve">Price fluctuations in materials and labour</t>
  </si>
  <si>
    <t xml:space="preserve">Temporary works risks and stability issues</t>
  </si>
  <si>
    <t xml:space="preserve">Health and safety risks during construction</t>
  </si>
  <si>
    <t xml:space="preserve">Environmental and contamination risks</t>
  </si>
  <si>
    <t xml:space="preserve">Damage to existing structures or services</t>
  </si>
  <si>
    <t xml:space="preserve">Coordination risks with statutory undertakers</t>
  </si>
  <si>
    <t xml:space="preserve">Quality defects and rework risks</t>
  </si>
  <si>
    <t xml:space="preserve">Programme delays and sequencing issues</t>
  </si>
  <si>
    <t xml:space="preserve">Testing and commissioning risks</t>
  </si>
  <si>
    <t xml:space="preserve">Supply chain performance risks</t>
  </si>
  <si>
    <t xml:space="preserve">Site security and theft or vandalism risks</t>
  </si>
  <si>
    <t xml:space="preserve">Final completion and snagging risks</t>
  </si>
  <si>
    <t xml:space="preserve">Current - 1Q26</t>
  </si>
  <si>
    <t xml:space="preserve">future - 4Q26</t>
  </si>
  <si>
    <t xml:space="preserve">change</t>
  </si>
  <si>
    <t xml:space="preserve">% change</t>
  </si>
  <si>
    <t xml:space="preserve">Current - 4Q26</t>
  </si>
  <si>
    <t xml:space="preserve">future - 2Q27</t>
  </si>
</sst>
</file>

<file path=xl/styles.xml><?xml version="1.0" encoding="utf-8"?>
<styleSheet xmlns="http://schemas.openxmlformats.org/spreadsheetml/2006/main">
  <numFmts count="21">
    <numFmt numFmtId="164" formatCode="[$-F800]dddd&quot;, &quot;mmmm\ dd&quot;, &quot;yyyy"/>
    <numFmt numFmtId="165" formatCode="General"/>
    <numFmt numFmtId="166" formatCode="General;;;"/>
    <numFmt numFmtId="167" formatCode="_(* #,##0.00_);_(* \(#,##0.00\);_(* \-??_);_(@_)"/>
    <numFmt numFmtId="168" formatCode="_(\$* #,##0.00_);_(\$* \(#,##0.00\);_(\$* \-??_);_(@_)"/>
    <numFmt numFmtId="169" formatCode="#,##0_);[RED]\(#,##0\)"/>
    <numFmt numFmtId="170" formatCode="0%"/>
    <numFmt numFmtId="171" formatCode="# ?/?"/>
    <numFmt numFmtId="172" formatCode="_-\£* #,##0_-;&quot;-£&quot;* #,##0_-;_-\£* \-??_-;_-@_-"/>
    <numFmt numFmtId="173" formatCode="_-* #,##0_-;\-* #,##0_-;_-* \-??_-;_-@_-"/>
    <numFmt numFmtId="174" formatCode="0"/>
    <numFmt numFmtId="175" formatCode="0.00"/>
    <numFmt numFmtId="176" formatCode="0.0"/>
    <numFmt numFmtId="177" formatCode="_-\£* #,##0.00_-;&quot;-£&quot;* #,##0.00_-;_-\£* \-??_-;_-@_-"/>
    <numFmt numFmtId="178" formatCode="\£#,##0.00"/>
    <numFmt numFmtId="179" formatCode="0.00%"/>
    <numFmt numFmtId="180" formatCode="#,##0"/>
    <numFmt numFmtId="181" formatCode="_-* #,##0.0_-;\-* #,##0.0_-;_-* \-??_-;_-@_-"/>
    <numFmt numFmtId="182" formatCode="#,##0.00"/>
    <numFmt numFmtId="183" formatCode="General"/>
    <numFmt numFmtId="184" formatCode="_-* #,##0.00_-;\-* #,##0.00_-;_-* \-??_-;_-@_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HelveticaNeueLT Std Lt Cn"/>
      <family val="2"/>
      <charset val="1"/>
    </font>
    <font>
      <sz val="16"/>
      <color rgb="FF7CD000"/>
      <name val="HelveticaNeueLT Std Med Cn"/>
      <family val="2"/>
      <charset val="1"/>
    </font>
    <font>
      <sz val="10"/>
      <name val="Arial"/>
      <family val="2"/>
      <charset val="1"/>
    </font>
    <font>
      <sz val="12"/>
      <color rgb="FF32C3E2"/>
      <name val="Arial"/>
      <family val="2"/>
      <charset val="1"/>
    </font>
    <font>
      <b val="true"/>
      <sz val="20"/>
      <color theme="4"/>
      <name val="Arial"/>
      <family val="2"/>
      <charset val="1"/>
    </font>
    <font>
      <b val="true"/>
      <sz val="20"/>
      <color rgb="FF425667"/>
      <name val="Arial"/>
      <family val="2"/>
      <charset val="1"/>
    </font>
    <font>
      <sz val="9"/>
      <color rgb="FF2D3537"/>
      <name val="Times New Roman"/>
      <family val="1"/>
      <charset val="1"/>
    </font>
    <font>
      <sz val="12"/>
      <name val="Times New Roman"/>
      <family val="1"/>
      <charset val="1"/>
    </font>
    <font>
      <u val="single"/>
      <sz val="11"/>
      <color theme="1"/>
      <name val="Calibri"/>
      <family val="2"/>
      <charset val="1"/>
    </font>
    <font>
      <sz val="9"/>
      <color theme="1" tint="0.3499"/>
      <name val="Arial"/>
      <family val="2"/>
      <charset val="1"/>
    </font>
    <font>
      <b val="true"/>
      <sz val="9"/>
      <color theme="1" tint="0.3499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 tint="0.3499"/>
      <name val="Arial"/>
      <family val="2"/>
      <charset val="1"/>
    </font>
    <font>
      <b val="true"/>
      <sz val="10"/>
      <color theme="1" tint="0.3499"/>
      <name val="Arial"/>
      <family val="2"/>
      <charset val="1"/>
    </font>
    <font>
      <sz val="9"/>
      <color theme="10"/>
      <name val="Calibri"/>
      <family val="2"/>
      <charset val="1"/>
    </font>
    <font>
      <u val="single"/>
      <sz val="9"/>
      <color theme="1" tint="0.3499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4"/>
      <name val="Arial"/>
      <family val="2"/>
      <charset val="1"/>
    </font>
    <font>
      <sz val="10"/>
      <color rgb="FF7CD00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u val="single"/>
      <sz val="10"/>
      <name val="Arial"/>
      <family val="2"/>
      <charset val="1"/>
    </font>
    <font>
      <sz val="9"/>
      <color theme="1"/>
      <name val="Arial"/>
      <family val="2"/>
      <charset val="1"/>
    </font>
    <font>
      <sz val="12"/>
      <color theme="10"/>
      <name val="Calibri"/>
      <family val="2"/>
      <charset val="1"/>
    </font>
    <font>
      <b val="true"/>
      <u val="single"/>
      <sz val="9"/>
      <color theme="1" tint="0.349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84DCEE"/>
      </patternFill>
    </fill>
    <fill>
      <patternFill patternType="solid">
        <fgColor rgb="FF84DCEE"/>
        <bgColor rgb="FF84DBEE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59595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/>
      <diagonal/>
    </border>
    <border diagonalUp="false" diagonalDown="false">
      <left style="thin">
        <color theme="4"/>
      </left>
      <right style="thin">
        <color theme="4"/>
      </right>
      <top/>
      <bottom/>
      <diagonal/>
    </border>
    <border diagonalUp="false" diagonalDown="false">
      <left style="thin"/>
      <right style="thin">
        <color theme="4"/>
      </right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theme="4"/>
      </right>
      <top/>
      <bottom/>
      <diagonal/>
    </border>
    <border diagonalUp="false" diagonalDown="false">
      <left style="thin">
        <color theme="4"/>
      </left>
      <right style="thin">
        <color theme="4"/>
      </right>
      <top/>
      <bottom style="thin">
        <color theme="4"/>
      </bottom>
      <diagonal/>
    </border>
    <border diagonalUp="false" diagonalDown="false">
      <left style="thin">
        <color theme="4"/>
      </left>
      <right/>
      <top/>
      <bottom style="thin">
        <color theme="4"/>
      </bottom>
      <diagonal/>
    </border>
    <border diagonalUp="false" diagonalDown="false">
      <left style="thin"/>
      <right style="thin">
        <color theme="4"/>
      </right>
      <top/>
      <bottom style="thin">
        <color theme="4"/>
      </bottom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3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2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9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6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7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2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0" fontId="1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7" fontId="1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0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0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2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2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3" fillId="5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2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21" fillId="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7" fontId="21" fillId="5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6" fillId="5" borderId="9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0" fontId="20" fillId="5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5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21" fillId="5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21" fillId="5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20" fillId="5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5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20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27" fillId="5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21" fillId="5" borderId="9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0" fontId="20" fillId="5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6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6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83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0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4" fontId="1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eacon General" xfId="20"/>
    <cellStyle name="Beacon General 2" xfId="21"/>
    <cellStyle name="Beacon Head" xfId="22"/>
    <cellStyle name="Comma 5" xfId="23"/>
    <cellStyle name="CPG 10 Body Text" xfId="24"/>
    <cellStyle name="CPG 12 Blue Heading" xfId="25"/>
    <cellStyle name="CPG 20 GREY HEADING CAPS" xfId="26"/>
    <cellStyle name="CPG 20 Grey Heading CAPS 2" xfId="27"/>
    <cellStyle name="Currency 2" xfId="28"/>
    <cellStyle name="Normal 2" xfId="29"/>
    <cellStyle name="Normal 2 2" xfId="30"/>
    <cellStyle name="Normal 2 2 2" xfId="31"/>
    <cellStyle name="Normal 2 2 2 2" xfId="32"/>
    <cellStyle name="Normal 2 3" xfId="33"/>
    <cellStyle name="Normal 3" xfId="34"/>
    <cellStyle name="Normal 4" xfId="35"/>
    <cellStyle name="Normal 4 2" xfId="36"/>
    <cellStyle name="Normal 4 3" xfId="37"/>
    <cellStyle name="Normal 5" xfId="38"/>
    <cellStyle name="Normal 6" xfId="39"/>
    <cellStyle name="Normal 7" xfId="40"/>
    <cellStyle name="Normal 8" xfId="41"/>
    <cellStyle name="Normal 9" xfId="42"/>
    <cellStyle name="Percent 2" xfId="43"/>
    <cellStyle name="Percent 3" xfId="44"/>
  </cellStyles>
  <dxfs count="4">
    <dxf>
      <fill>
        <patternFill>
          <bgColor theme="9" tint="-0.25"/>
        </patternFill>
      </fill>
    </dxf>
    <dxf>
      <fill>
        <patternFill>
          <bgColor theme="9" tint="0.5999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ADE7F3"/>
      <rgbColor rgb="FF660066"/>
      <rgbColor rgb="FFFF7C80"/>
      <rgbColor rgb="FF0563C1"/>
      <rgbColor rgb="FF84D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DBEE"/>
      <rgbColor rgb="FFFF99CC"/>
      <rgbColor rgb="FFCC99FF"/>
      <rgbColor rgb="FFFFCC99"/>
      <rgbColor rgb="FF3366FF"/>
      <rgbColor rgb="FF32C3E2"/>
      <rgbColor rgb="FF7CD000"/>
      <rgbColor rgb="FFFFCC00"/>
      <rgbColor rgb="FFFF9900"/>
      <rgbColor rgb="FFFF6600"/>
      <rgbColor rgb="FF595959"/>
      <rgbColor rgb="FF969696"/>
      <rgbColor rgb="FF003366"/>
      <rgbColor rgb="FF1A9AB5"/>
      <rgbColor rgb="FF003300"/>
      <rgbColor rgb="FF333300"/>
      <rgbColor rgb="FF993300"/>
      <rgbColor rgb="FF993366"/>
      <rgbColor rgb="FF425667"/>
      <rgbColor rgb="FF2D35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PSQS">
      <a:dk1>
        <a:srgbClr val="000000"/>
      </a:dk1>
      <a:lt1>
        <a:srgbClr val="ffffff"/>
      </a:lt1>
      <a:dk2>
        <a:srgbClr val="5a5a5a"/>
      </a:dk2>
      <a:lt2>
        <a:srgbClr val="e7e6e6"/>
      </a:lt2>
      <a:accent1>
        <a:srgbClr val="425667"/>
      </a:accent1>
      <a:accent2>
        <a:srgbClr val="32c3e2"/>
      </a:accent2>
      <a:accent3>
        <a:srgbClr val="5a5a5a"/>
      </a:accent3>
      <a:accent4>
        <a:srgbClr val="ffb31a"/>
      </a:accent4>
      <a:accent5>
        <a:srgbClr val="b8b493"/>
      </a:accent5>
      <a:accent6>
        <a:srgbClr val="32c3e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4.25" zeroHeight="false" outlineLevelRow="0" outlineLevelCol="0"/>
  <sheetData>
    <row r="1" customFormat="false" ht="14.25" hidden="false" customHeight="true" outlineLevel="0" collapsed="false">
      <c r="A1" s="1" t="s">
        <v>0</v>
      </c>
    </row>
    <row r="2" customFormat="false" ht="14.25" hidden="false" customHeight="true" outlineLevel="0" collapsed="false">
      <c r="A2" s="1" t="s">
        <v>1</v>
      </c>
    </row>
    <row r="3" customFormat="false" ht="14.25" hidden="false" customHeight="true" outlineLevel="0" collapsed="false">
      <c r="A3" s="1" t="s">
        <v>2</v>
      </c>
    </row>
    <row r="4" customFormat="false" ht="14.25" hidden="false" customHeight="true" outlineLevel="0" collapsed="false">
      <c r="A4" s="1" t="s">
        <v>3</v>
      </c>
    </row>
    <row r="5" customFormat="false" ht="14.25" hidden="false" customHeight="true" outlineLevel="0" collapsed="false">
      <c r="A5" s="1" t="s">
        <v>4</v>
      </c>
    </row>
    <row r="6" customFormat="false" ht="14.25" hidden="false" customHeight="true" outlineLevel="0" collapsed="false">
      <c r="A6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8.6796875" defaultRowHeight="14.25" zeroHeight="false" outlineLevelRow="0" outlineLevelCol="0"/>
  <cols>
    <col collapsed="false" customWidth="true" hidden="false" outlineLevel="0" max="1" min="1" style="2" width="12"/>
    <col collapsed="false" customWidth="true" hidden="false" outlineLevel="0" max="3" min="3" style="2" width="23.91"/>
    <col collapsed="false" customWidth="true" hidden="false" outlineLevel="0" max="5" min="5" style="2" width="10.27"/>
    <col collapsed="false" customWidth="true" hidden="false" outlineLevel="0" max="7" min="7" style="2" width="13.73"/>
    <col collapsed="false" customWidth="true" hidden="false" outlineLevel="0" max="11" min="11" style="2" width="15.82"/>
    <col collapsed="false" customWidth="true" hidden="false" outlineLevel="0" max="15" min="15" style="2" width="24.91"/>
  </cols>
  <sheetData>
    <row r="2" customFormat="false" ht="14.25" hidden="false" customHeight="true" outlineLevel="0" collapsed="false">
      <c r="O2" s="3" t="s">
        <v>6</v>
      </c>
    </row>
    <row r="3" customFormat="false" ht="14.25" hidden="false" customHeight="true" outlineLevel="0" collapsed="false">
      <c r="A3" s="1" t="s">
        <v>7</v>
      </c>
      <c r="C3" s="1" t="s">
        <v>8</v>
      </c>
      <c r="E3" s="1" t="s">
        <v>9</v>
      </c>
      <c r="G3" s="1" t="s">
        <v>10</v>
      </c>
      <c r="K3" s="4" t="s">
        <v>11</v>
      </c>
      <c r="M3" s="3" t="s">
        <v>12</v>
      </c>
      <c r="O3" s="1" t="s">
        <v>13</v>
      </c>
    </row>
    <row r="4" customFormat="false" ht="14.25" hidden="false" customHeight="true" outlineLevel="0" collapsed="false">
      <c r="A4" s="1" t="s">
        <v>14</v>
      </c>
      <c r="C4" s="1" t="s">
        <v>15</v>
      </c>
      <c r="E4" s="1" t="s">
        <v>16</v>
      </c>
      <c r="G4" s="1" t="s">
        <v>17</v>
      </c>
      <c r="I4" s="1" t="s">
        <v>18</v>
      </c>
      <c r="K4" s="4"/>
      <c r="M4" s="1" t="s">
        <v>19</v>
      </c>
      <c r="O4" s="1" t="s">
        <v>20</v>
      </c>
    </row>
    <row r="5" customFormat="false" ht="14.25" hidden="false" customHeight="true" outlineLevel="0" collapsed="false">
      <c r="A5" s="1" t="s">
        <v>21</v>
      </c>
      <c r="C5" s="1" t="s">
        <v>22</v>
      </c>
      <c r="E5" s="1" t="s">
        <v>23</v>
      </c>
      <c r="G5" s="1" t="s">
        <v>24</v>
      </c>
      <c r="I5" s="1" t="s">
        <v>25</v>
      </c>
      <c r="K5" s="4"/>
      <c r="M5" s="1" t="s">
        <v>26</v>
      </c>
      <c r="O5" s="1" t="s">
        <v>27</v>
      </c>
    </row>
    <row r="6" customFormat="false" ht="14.25" hidden="false" customHeight="true" outlineLevel="0" collapsed="false">
      <c r="A6" s="1" t="s">
        <v>28</v>
      </c>
      <c r="C6" s="1" t="s">
        <v>29</v>
      </c>
      <c r="E6" s="1" t="s">
        <v>30</v>
      </c>
      <c r="G6" s="1" t="s">
        <v>31</v>
      </c>
      <c r="K6" s="4"/>
      <c r="O6" s="3" t="s">
        <v>32</v>
      </c>
    </row>
    <row r="7" customFormat="false" ht="14.25" hidden="false" customHeight="true" outlineLevel="0" collapsed="false">
      <c r="A7" s="1" t="s">
        <v>33</v>
      </c>
      <c r="C7" s="1" t="s">
        <v>34</v>
      </c>
      <c r="E7" s="1" t="s">
        <v>35</v>
      </c>
      <c r="G7" s="1" t="s">
        <v>36</v>
      </c>
      <c r="O7" s="5" t="n">
        <v>1</v>
      </c>
    </row>
    <row r="8" customFormat="false" ht="14.25" hidden="false" customHeight="true" outlineLevel="0" collapsed="false">
      <c r="C8" s="1" t="s">
        <v>37</v>
      </c>
      <c r="E8" s="1" t="s">
        <v>38</v>
      </c>
      <c r="O8" s="5" t="n">
        <v>2</v>
      </c>
    </row>
    <row r="9" customFormat="false" ht="14.25" hidden="false" customHeight="true" outlineLevel="0" collapsed="false">
      <c r="C9" s="1" t="s">
        <v>39</v>
      </c>
      <c r="E9" s="1" t="s">
        <v>40</v>
      </c>
      <c r="O9" s="5" t="n">
        <v>3</v>
      </c>
    </row>
    <row r="10" customFormat="false" ht="14.25" hidden="false" customHeight="true" outlineLevel="0" collapsed="false">
      <c r="C10" s="1" t="s">
        <v>41</v>
      </c>
      <c r="E10" s="1" t="s">
        <v>42</v>
      </c>
      <c r="O10" s="5" t="n">
        <v>4</v>
      </c>
    </row>
    <row r="11" customFormat="false" ht="14.25" hidden="false" customHeight="true" outlineLevel="0" collapsed="false">
      <c r="C11" s="1" t="s">
        <v>43</v>
      </c>
      <c r="E11" s="1" t="s">
        <v>44</v>
      </c>
      <c r="O11" s="5" t="n">
        <v>5</v>
      </c>
    </row>
    <row r="12" customFormat="false" ht="14.25" hidden="false" customHeight="true" outlineLevel="0" collapsed="false">
      <c r="C12" s="1" t="s">
        <v>45</v>
      </c>
      <c r="E12" s="1" t="s">
        <v>46</v>
      </c>
      <c r="K12" s="1" t="s">
        <v>47</v>
      </c>
    </row>
    <row r="13" customFormat="false" ht="14.25" hidden="false" customHeight="true" outlineLevel="0" collapsed="false">
      <c r="C13" s="1" t="s">
        <v>48</v>
      </c>
      <c r="E13" s="1" t="s">
        <v>49</v>
      </c>
      <c r="K13" s="1" t="s">
        <v>50</v>
      </c>
    </row>
    <row r="14" customFormat="false" ht="14.25" hidden="false" customHeight="true" outlineLevel="0" collapsed="false">
      <c r="C14" s="1" t="s">
        <v>51</v>
      </c>
      <c r="E14" s="1" t="s">
        <v>52</v>
      </c>
      <c r="K14" s="1" t="s">
        <v>53</v>
      </c>
    </row>
    <row r="15" customFormat="false" ht="14.25" hidden="false" customHeight="true" outlineLevel="0" collapsed="false">
      <c r="C15" s="1" t="s">
        <v>54</v>
      </c>
      <c r="E15" s="1" t="s">
        <v>55</v>
      </c>
    </row>
    <row r="16" customFormat="false" ht="14.25" hidden="false" customHeight="true" outlineLevel="0" collapsed="false">
      <c r="C16" s="1" t="s">
        <v>56</v>
      </c>
    </row>
    <row r="17" customFormat="false" ht="14.25" hidden="false" customHeight="true" outlineLevel="0" collapsed="false">
      <c r="C17" s="1" t="s">
        <v>57</v>
      </c>
    </row>
    <row r="18" customFormat="false" ht="14.25" hidden="false" customHeight="true" outlineLevel="0" collapsed="false">
      <c r="C18" s="1" t="s">
        <v>58</v>
      </c>
    </row>
    <row r="19" customFormat="false" ht="14.25" hidden="false" customHeight="true" outlineLevel="0" collapsed="false">
      <c r="C19" s="1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73046875" defaultRowHeight="11.25" zeroHeight="false" outlineLevelRow="0" outlineLevelCol="0"/>
  <cols>
    <col collapsed="false" customWidth="true" hidden="false" outlineLevel="0" max="1" min="1" style="6" width="35.54"/>
    <col collapsed="false" customWidth="true" hidden="false" outlineLevel="0" max="2" min="2" style="6" width="28.45"/>
    <col collapsed="false" customWidth="true" hidden="false" outlineLevel="0" max="3" min="3" style="6" width="39"/>
    <col collapsed="false" customWidth="false" hidden="false" outlineLevel="0" max="5" min="4" style="6" width="8.73"/>
    <col collapsed="false" customWidth="true" hidden="false" outlineLevel="0" max="6" min="6" style="6" width="30.27"/>
    <col collapsed="false" customWidth="true" hidden="false" outlineLevel="0" max="7" min="7" style="6" width="10.73"/>
    <col collapsed="false" customWidth="false" hidden="false" outlineLevel="0" max="8" min="8" style="6" width="8.73"/>
    <col collapsed="false" customWidth="true" hidden="false" outlineLevel="0" max="9" min="9" style="6" width="49.82"/>
    <col collapsed="false" customWidth="false" hidden="false" outlineLevel="0" max="16384" min="10" style="6" width="8.73"/>
  </cols>
  <sheetData>
    <row r="1" customFormat="false" ht="11.25" hidden="false" customHeight="true" outlineLevel="0" collapsed="false">
      <c r="A1" s="7" t="s">
        <v>60</v>
      </c>
      <c r="B1" s="8"/>
      <c r="E1" s="9"/>
      <c r="F1" s="9"/>
      <c r="G1" s="10"/>
      <c r="I1" s="9"/>
      <c r="J1" s="11"/>
    </row>
    <row r="2" customFormat="false" ht="13.5" hidden="false" customHeight="true" outlineLevel="0" collapsed="false">
      <c r="A2" s="12" t="s">
        <v>61</v>
      </c>
      <c r="B2" s="13" t="s">
        <v>62</v>
      </c>
      <c r="E2" s="9"/>
      <c r="G2" s="10"/>
      <c r="I2" s="11"/>
    </row>
    <row r="3" customFormat="false" ht="13.5" hidden="false" customHeight="true" outlineLevel="0" collapsed="false">
      <c r="A3" s="12" t="s">
        <v>63</v>
      </c>
      <c r="B3" s="13" t="s">
        <v>64</v>
      </c>
      <c r="G3" s="10"/>
      <c r="I3" s="11"/>
    </row>
    <row r="4" customFormat="false" ht="13.5" hidden="false" customHeight="true" outlineLevel="0" collapsed="false">
      <c r="A4" s="12" t="s">
        <v>65</v>
      </c>
      <c r="B4" s="14" t="n">
        <v>46093</v>
      </c>
      <c r="G4" s="10"/>
      <c r="I4" s="11"/>
    </row>
    <row r="5" customFormat="false" ht="13.5" hidden="false" customHeight="true" outlineLevel="0" collapsed="false">
      <c r="A5" s="12" t="s">
        <v>66</v>
      </c>
      <c r="B5" s="14" t="n">
        <v>46093</v>
      </c>
      <c r="G5" s="10"/>
      <c r="I5" s="11"/>
    </row>
    <row r="6" customFormat="false" ht="13.5" hidden="false" customHeight="true" outlineLevel="0" collapsed="false">
      <c r="A6" s="12" t="s">
        <v>67</v>
      </c>
      <c r="B6" s="15" t="s">
        <v>21</v>
      </c>
      <c r="G6" s="10"/>
      <c r="I6" s="11"/>
    </row>
    <row r="7" customFormat="false" ht="11.25" hidden="false" customHeight="true" outlineLevel="0" collapsed="false">
      <c r="A7" s="16" t="s">
        <v>68</v>
      </c>
      <c r="B7" s="17" t="s">
        <v>15</v>
      </c>
      <c r="G7" s="10"/>
      <c r="I7" s="11"/>
    </row>
    <row r="8" customFormat="false" ht="11.25" hidden="false" customHeight="true" outlineLevel="0" collapsed="false">
      <c r="A8" s="16" t="s">
        <v>69</v>
      </c>
      <c r="B8" s="17" t="s">
        <v>16</v>
      </c>
      <c r="G8" s="10"/>
      <c r="I8" s="11"/>
    </row>
    <row r="9" customFormat="false" ht="11.25" hidden="false" customHeight="true" outlineLevel="0" collapsed="false">
      <c r="A9" s="16" t="s">
        <v>70</v>
      </c>
      <c r="B9" s="17" t="s">
        <v>50</v>
      </c>
      <c r="G9" s="10"/>
      <c r="I9" s="11"/>
    </row>
    <row r="10" customFormat="false" ht="13.5" hidden="false" customHeight="true" outlineLevel="0" collapsed="false">
      <c r="A10" s="16" t="s">
        <v>71</v>
      </c>
      <c r="B10" s="18" t="n">
        <v>52</v>
      </c>
      <c r="G10" s="10"/>
      <c r="I10" s="11"/>
    </row>
    <row r="11" customFormat="false" ht="13.5" hidden="false" customHeight="true" outlineLevel="0" collapsed="false">
      <c r="A11" s="16" t="s">
        <v>72</v>
      </c>
      <c r="B11" s="17" t="s">
        <v>18</v>
      </c>
      <c r="G11" s="10"/>
      <c r="I11" s="11"/>
    </row>
    <row r="12" customFormat="false" ht="13.5" hidden="false" customHeight="true" outlineLevel="0" collapsed="false">
      <c r="A12" s="16" t="s">
        <v>73</v>
      </c>
      <c r="B12" s="17" t="s">
        <v>25</v>
      </c>
      <c r="G12" s="10"/>
      <c r="I12" s="11"/>
    </row>
    <row r="13" customFormat="false" ht="13.5" hidden="false" customHeight="true" outlineLevel="0" collapsed="false">
      <c r="A13" s="16" t="s">
        <v>74</v>
      </c>
      <c r="B13" s="17" t="s">
        <v>25</v>
      </c>
      <c r="G13" s="10"/>
      <c r="I13" s="11"/>
    </row>
    <row r="14" customFormat="false" ht="13.5" hidden="false" customHeight="true" outlineLevel="0" collapsed="false">
      <c r="A14" s="16" t="s">
        <v>75</v>
      </c>
      <c r="B14" s="17" t="s">
        <v>25</v>
      </c>
      <c r="G14" s="10"/>
      <c r="I14" s="11"/>
    </row>
    <row r="15" customFormat="false" ht="11.25" hidden="false" customHeight="true" outlineLevel="0" collapsed="false">
      <c r="A15" s="16" t="s">
        <v>76</v>
      </c>
      <c r="B15" s="19" t="s">
        <v>13</v>
      </c>
      <c r="I15" s="11"/>
    </row>
    <row r="16" customFormat="false" ht="11.25" hidden="false" customHeight="true" outlineLevel="0" collapsed="false">
      <c r="A16" s="16" t="s">
        <v>77</v>
      </c>
      <c r="B16" s="17" t="s">
        <v>17</v>
      </c>
      <c r="I16" s="20"/>
    </row>
    <row r="17" customFormat="false" ht="11.25" hidden="false" customHeight="true" outlineLevel="0" collapsed="false">
      <c r="A17" s="16" t="s">
        <v>78</v>
      </c>
      <c r="B17" s="21" t="s">
        <v>18</v>
      </c>
      <c r="I17" s="20"/>
    </row>
    <row r="18" customFormat="false" ht="11.25" hidden="false" customHeight="true" outlineLevel="0" collapsed="false">
      <c r="A18" s="16" t="s">
        <v>79</v>
      </c>
      <c r="B18" s="21" t="s">
        <v>18</v>
      </c>
      <c r="I18" s="20"/>
    </row>
    <row r="19" customFormat="false" ht="11.25" hidden="false" customHeight="true" outlineLevel="0" collapsed="false">
      <c r="A19" s="16" t="s">
        <v>80</v>
      </c>
      <c r="B19" s="17" t="s">
        <v>18</v>
      </c>
      <c r="I19" s="20"/>
    </row>
    <row r="20" customFormat="false" ht="11.25" hidden="false" customHeight="true" outlineLevel="0" collapsed="false">
      <c r="A20" s="16" t="s">
        <v>81</v>
      </c>
      <c r="B20" s="17" t="s">
        <v>25</v>
      </c>
      <c r="I20" s="20"/>
    </row>
    <row r="21" customFormat="false" ht="11.25" hidden="false" customHeight="true" outlineLevel="0" collapsed="false">
      <c r="A21" s="16" t="s">
        <v>82</v>
      </c>
      <c r="B21" s="17" t="s">
        <v>19</v>
      </c>
      <c r="I21" s="20"/>
    </row>
    <row r="22" customFormat="false" ht="11.25" hidden="false" customHeight="true" outlineLevel="0" collapsed="false">
      <c r="A22" s="16" t="s">
        <v>83</v>
      </c>
      <c r="B22" s="17" t="s">
        <v>84</v>
      </c>
      <c r="I22" s="20"/>
    </row>
    <row r="23" customFormat="false" ht="11.25" hidden="false" customHeight="true" outlineLevel="0" collapsed="false">
      <c r="A23" s="16" t="s">
        <v>11</v>
      </c>
      <c r="B23" s="22" t="n">
        <v>3</v>
      </c>
      <c r="I23" s="20"/>
    </row>
    <row r="24" customFormat="false" ht="11.25" hidden="false" customHeight="true" outlineLevel="0" collapsed="false">
      <c r="A24" s="16" t="s">
        <v>85</v>
      </c>
      <c r="B24" s="23" t="n">
        <v>4</v>
      </c>
      <c r="E24" s="24"/>
      <c r="F24" s="24"/>
      <c r="G24" s="10"/>
      <c r="I24" s="9"/>
    </row>
    <row r="25" customFormat="false" ht="13.5" hidden="false" customHeight="true" outlineLevel="0" collapsed="false">
      <c r="A25" s="16" t="s">
        <v>86</v>
      </c>
      <c r="B25" s="17" t="s">
        <v>18</v>
      </c>
      <c r="F25" s="25"/>
      <c r="G25" s="10"/>
      <c r="I25" s="20"/>
    </row>
    <row r="26" customFormat="false" ht="13.5" hidden="false" customHeight="true" outlineLevel="0" collapsed="false">
      <c r="A26" s="26" t="s">
        <v>87</v>
      </c>
      <c r="B26" s="27" t="s">
        <v>25</v>
      </c>
      <c r="F26" s="25"/>
      <c r="G26" s="10"/>
      <c r="I26" s="20"/>
    </row>
    <row r="27" customFormat="false" ht="11.25" hidden="false" customHeight="true" outlineLevel="0" collapsed="false">
      <c r="F27" s="28"/>
      <c r="G27" s="10"/>
      <c r="I27" s="20"/>
    </row>
    <row r="28" customFormat="false" ht="13.5" hidden="false" customHeight="true" outlineLevel="0" collapsed="false">
      <c r="F28" s="25"/>
      <c r="G28" s="10"/>
      <c r="I28" s="20"/>
    </row>
    <row r="29" customFormat="false" ht="13.5" hidden="false" customHeight="true" outlineLevel="0" collapsed="false">
      <c r="A29" s="11" t="s">
        <v>88</v>
      </c>
      <c r="F29" s="25"/>
      <c r="G29" s="10"/>
      <c r="I29" s="20"/>
    </row>
    <row r="30" customFormat="false" ht="13.5" hidden="false" customHeight="true" outlineLevel="0" collapsed="false">
      <c r="A30" s="6" t="s">
        <v>89</v>
      </c>
      <c r="B30" s="6" t="s">
        <v>90</v>
      </c>
      <c r="C30" s="6" t="s">
        <v>91</v>
      </c>
      <c r="F30" s="25"/>
      <c r="G30" s="10"/>
      <c r="I30" s="20"/>
    </row>
    <row r="31" customFormat="false" ht="13.5" hidden="false" customHeight="true" outlineLevel="0" collapsed="false">
      <c r="F31" s="25"/>
      <c r="G31" s="10"/>
      <c r="I31" s="20"/>
    </row>
    <row r="32" customFormat="false" ht="11.25" hidden="false" customHeight="true" outlineLevel="0" collapsed="false">
      <c r="A32" s="11" t="s">
        <v>92</v>
      </c>
      <c r="F32" s="25"/>
      <c r="G32" s="10"/>
      <c r="H32" s="10"/>
      <c r="I32" s="20"/>
    </row>
    <row r="33" customFormat="false" ht="13.5" hidden="false" customHeight="true" outlineLevel="0" collapsed="false">
      <c r="A33" s="6" t="s">
        <v>93</v>
      </c>
      <c r="B33" s="6" t="s">
        <v>94</v>
      </c>
      <c r="F33" s="25"/>
      <c r="G33" s="10"/>
      <c r="I33" s="20"/>
    </row>
    <row r="34" customFormat="false" ht="13.5" hidden="false" customHeight="true" outlineLevel="0" collapsed="false">
      <c r="A34" s="6" t="s">
        <v>95</v>
      </c>
      <c r="B34" s="6" t="s">
        <v>96</v>
      </c>
      <c r="F34" s="25"/>
      <c r="G34" s="10"/>
      <c r="I34" s="20"/>
    </row>
    <row r="35" customFormat="false" ht="13.5" hidden="false" customHeight="true" outlineLevel="0" collapsed="false">
      <c r="A35" s="6" t="s">
        <v>97</v>
      </c>
      <c r="B35" s="6" t="s">
        <v>98</v>
      </c>
      <c r="F35" s="25"/>
      <c r="G35" s="10"/>
      <c r="I35" s="20"/>
    </row>
    <row r="36" customFormat="false" ht="13.5" hidden="false" customHeight="true" outlineLevel="0" collapsed="false">
      <c r="A36" s="6" t="s">
        <v>99</v>
      </c>
      <c r="B36" s="6" t="s">
        <v>100</v>
      </c>
      <c r="F36" s="25"/>
      <c r="G36" s="10"/>
      <c r="I36" s="20"/>
    </row>
    <row r="37" customFormat="false" ht="13.5" hidden="false" customHeight="true" outlineLevel="0" collapsed="false">
      <c r="A37" s="6" t="s">
        <v>101</v>
      </c>
      <c r="B37" s="6" t="s">
        <v>102</v>
      </c>
      <c r="F37" s="25"/>
      <c r="G37" s="10"/>
      <c r="I37" s="20"/>
    </row>
    <row r="38" customFormat="false" ht="13.5" hidden="false" customHeight="true" outlineLevel="0" collapsed="false">
      <c r="A38" s="6" t="s">
        <v>103</v>
      </c>
      <c r="B38" s="6" t="s">
        <v>104</v>
      </c>
      <c r="F38" s="25"/>
      <c r="G38" s="10"/>
      <c r="I38" s="20"/>
    </row>
    <row r="39" customFormat="false" ht="13.5" hidden="false" customHeight="true" outlineLevel="0" collapsed="false">
      <c r="A39" s="6" t="s">
        <v>105</v>
      </c>
      <c r="B39" s="6" t="s">
        <v>106</v>
      </c>
      <c r="F39" s="25"/>
      <c r="G39" s="10"/>
      <c r="I39" s="20"/>
    </row>
    <row r="40" customFormat="false" ht="13.5" hidden="false" customHeight="true" outlineLevel="0" collapsed="false">
      <c r="F40" s="25"/>
      <c r="G40" s="10"/>
      <c r="I40" s="20"/>
    </row>
    <row r="41" customFormat="false" ht="13.5" hidden="false" customHeight="true" outlineLevel="0" collapsed="false">
      <c r="F41" s="25"/>
      <c r="G41" s="10"/>
      <c r="I41" s="20"/>
    </row>
    <row r="42" customFormat="false" ht="13.5" hidden="false" customHeight="true" outlineLevel="0" collapsed="false">
      <c r="A42" s="11" t="s">
        <v>107</v>
      </c>
      <c r="F42" s="29"/>
      <c r="G42" s="10"/>
      <c r="I42" s="20"/>
    </row>
    <row r="43" customFormat="false" ht="13.5" hidden="false" customHeight="true" outlineLevel="0" collapsed="false">
      <c r="A43" s="6" t="s">
        <v>108</v>
      </c>
      <c r="B43" s="6" t="s">
        <v>109</v>
      </c>
      <c r="F43" s="29"/>
      <c r="G43" s="10"/>
      <c r="I43" s="20"/>
    </row>
    <row r="44" customFormat="false" ht="13.5" hidden="false" customHeight="true" outlineLevel="0" collapsed="false">
      <c r="A44" s="6" t="s">
        <v>110</v>
      </c>
      <c r="B44" s="6" t="s">
        <v>109</v>
      </c>
      <c r="F44" s="29"/>
      <c r="G44" s="10"/>
      <c r="I44" s="20"/>
    </row>
    <row r="45" customFormat="false" ht="11.25" hidden="false" customHeight="true" outlineLevel="0" collapsed="false">
      <c r="F45" s="29"/>
      <c r="G45" s="10"/>
      <c r="I45" s="20"/>
    </row>
    <row r="46" customFormat="false" ht="13.5" hidden="false" customHeight="true" outlineLevel="0" collapsed="false">
      <c r="F46" s="29"/>
      <c r="G46" s="10"/>
      <c r="I46" s="20"/>
    </row>
    <row r="47" customFormat="false" ht="13.5" hidden="false" customHeight="true" outlineLevel="0" collapsed="false">
      <c r="F47" s="29"/>
      <c r="G47" s="10"/>
      <c r="I47" s="20"/>
    </row>
    <row r="48" customFormat="false" ht="13.5" hidden="false" customHeight="true" outlineLevel="0" collapsed="false">
      <c r="F48" s="29"/>
      <c r="G48" s="10"/>
      <c r="I48" s="20"/>
    </row>
    <row r="49" customFormat="false" ht="13.5" hidden="false" customHeight="true" outlineLevel="0" collapsed="false">
      <c r="F49" s="29"/>
      <c r="G49" s="10"/>
      <c r="I49" s="20"/>
    </row>
    <row r="50" customFormat="false" ht="13.5" hidden="false" customHeight="true" outlineLevel="0" collapsed="false">
      <c r="F50" s="29"/>
      <c r="G50" s="10"/>
      <c r="I50" s="20"/>
    </row>
    <row r="51" customFormat="false" ht="13.5" hidden="false" customHeight="true" outlineLevel="0" collapsed="false">
      <c r="F51" s="25"/>
      <c r="G51" s="10"/>
      <c r="I51" s="20"/>
    </row>
    <row r="52" customFormat="false" ht="13.5" hidden="false" customHeight="true" outlineLevel="0" collapsed="false">
      <c r="F52" s="25"/>
      <c r="G52" s="10"/>
      <c r="I52" s="20"/>
    </row>
    <row r="53" customFormat="false" ht="13.5" hidden="false" customHeight="true" outlineLevel="0" collapsed="false">
      <c r="F53" s="25"/>
      <c r="G53" s="10"/>
      <c r="I53" s="20"/>
    </row>
    <row r="54" customFormat="false" ht="13.5" hidden="false" customHeight="true" outlineLevel="0" collapsed="false">
      <c r="F54" s="25"/>
      <c r="G54" s="10"/>
      <c r="I54" s="20"/>
    </row>
    <row r="55" customFormat="false" ht="13.5" hidden="false" customHeight="true" outlineLevel="0" collapsed="false">
      <c r="F55" s="25"/>
      <c r="G55" s="10"/>
    </row>
    <row r="56" customFormat="false" ht="13.5" hidden="false" customHeight="true" outlineLevel="0" collapsed="false">
      <c r="F56" s="25"/>
      <c r="G56" s="10"/>
    </row>
    <row r="57" customFormat="false" ht="13.5" hidden="false" customHeight="true" outlineLevel="0" collapsed="false">
      <c r="F57" s="25"/>
      <c r="G57" s="10"/>
    </row>
    <row r="58" customFormat="false" ht="13.5" hidden="false" customHeight="true" outlineLevel="0" collapsed="false">
      <c r="F58" s="25"/>
      <c r="G58" s="10"/>
    </row>
    <row r="59" customFormat="false" ht="13.5" hidden="false" customHeight="true" outlineLevel="0" collapsed="false">
      <c r="F59" s="25"/>
      <c r="G59" s="10"/>
    </row>
    <row r="60" customFormat="false" ht="13.5" hidden="false" customHeight="true" outlineLevel="0" collapsed="false">
      <c r="F60" s="25"/>
      <c r="G60" s="10"/>
    </row>
    <row r="61" customFormat="false" ht="13.5" hidden="false" customHeight="true" outlineLevel="0" collapsed="false">
      <c r="F61" s="25"/>
      <c r="G61" s="10"/>
    </row>
    <row r="62" customFormat="false" ht="13.5" hidden="false" customHeight="true" outlineLevel="0" collapsed="false">
      <c r="F62" s="25"/>
      <c r="G62" s="10"/>
    </row>
    <row r="63" customFormat="false" ht="13.5" hidden="false" customHeight="true" outlineLevel="0" collapsed="false">
      <c r="F63" s="25"/>
      <c r="G63" s="10"/>
    </row>
    <row r="64" customFormat="false" ht="13.5" hidden="false" customHeight="true" outlineLevel="0" collapsed="false">
      <c r="F64" s="25"/>
      <c r="G64" s="10"/>
    </row>
    <row r="65" customFormat="false" ht="13.5" hidden="false" customHeight="true" outlineLevel="0" collapsed="false">
      <c r="F65" s="25"/>
      <c r="G65" s="10"/>
    </row>
  </sheetData>
  <dataValidations count="8">
    <dataValidation allowBlank="true" errorStyle="stop" operator="between" showDropDown="false" showErrorMessage="true" showInputMessage="true" sqref="B6" type="list">
      <formula1>BCISQ</formula1>
      <formula2>0</formula2>
    </dataValidation>
    <dataValidation allowBlank="true" errorStyle="stop" operator="between" showDropDown="false" showErrorMessage="true" showInputMessage="true" sqref="B7" type="list">
      <formula1>SECTOR</formula1>
      <formula2>0</formula2>
    </dataValidation>
    <dataValidation allowBlank="true" errorStyle="stop" operator="between" showDropDown="false" showErrorMessage="true" showInputMessage="true" sqref="B8" type="list">
      <formula1>REGION</formula1>
      <formula2>0</formula2>
    </dataValidation>
    <dataValidation allowBlank="true" errorStyle="stop" operator="between" showDropDown="false" showErrorMessage="true" showInputMessage="true" sqref="B11:B14 B17:B20 B22 B25:B26" type="list">
      <formula1>YesNo</formula1>
      <formula2>0</formula2>
    </dataValidation>
    <dataValidation allowBlank="true" errorStyle="stop" operator="between" showDropDown="false" showErrorMessage="true" showInputMessage="true" sqref="B16" type="list">
      <formula1>STAGE</formula1>
      <formula2>0</formula2>
    </dataValidation>
    <dataValidation allowBlank="true" errorStyle="stop" operator="between" showDropDown="false" showErrorMessage="true" showInputMessage="true" sqref="B21" type="list">
      <formula1>Site_type</formula1>
      <formula2>0</formula2>
    </dataValidation>
    <dataValidation allowBlank="true" errorStyle="stop" operator="between" showDropDown="false" showErrorMessage="true" showInputMessage="true" sqref="B9" type="list">
      <formula1>currency</formula1>
      <formula2>0</formula2>
    </dataValidation>
    <dataValidation allowBlank="true" errorStyle="stop" operator="between" showDropDown="false" showErrorMessage="true" showInputMessage="true" sqref="B15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1.25" zeroHeight="false" outlineLevelRow="0" outlineLevelCol="0"/>
  <cols>
    <col collapsed="false" customWidth="true" hidden="false" outlineLevel="0" max="1" min="1" style="6" width="14.91"/>
    <col collapsed="false" customWidth="true" hidden="false" outlineLevel="0" max="2" min="2" style="6" width="10.73"/>
    <col collapsed="false" customWidth="false" hidden="false" outlineLevel="0" max="3" min="3" style="6" width="8.73"/>
    <col collapsed="false" customWidth="true" hidden="false" outlineLevel="0" max="4" min="4" style="6" width="49.82"/>
    <col collapsed="false" customWidth="false" hidden="false" outlineLevel="0" max="16384" min="5" style="6" width="8.73"/>
  </cols>
  <sheetData>
    <row r="1" customFormat="false" ht="11.25" hidden="false" customHeight="true" outlineLevel="0" collapsed="false">
      <c r="A1" s="9" t="s">
        <v>111</v>
      </c>
      <c r="B1" s="30" t="s">
        <v>112</v>
      </c>
      <c r="C1" s="11" t="s">
        <v>113</v>
      </c>
      <c r="D1" s="9" t="s">
        <v>114</v>
      </c>
      <c r="E1" s="11"/>
    </row>
    <row r="2" customFormat="false" ht="13.5" hidden="false" customHeight="true" outlineLevel="0" collapsed="false">
      <c r="A2" s="6" t="s">
        <v>115</v>
      </c>
      <c r="B2" s="10" t="n">
        <v>1001</v>
      </c>
      <c r="C2" s="6" t="s">
        <v>116</v>
      </c>
      <c r="D2" s="11"/>
    </row>
    <row r="3" customFormat="false" ht="13.5" hidden="false" customHeight="true" outlineLevel="0" collapsed="false">
      <c r="B3" s="10"/>
      <c r="D3" s="11"/>
    </row>
    <row r="4" customFormat="false" ht="13.5" hidden="false" customHeight="true" outlineLevel="0" collapsed="false">
      <c r="B4" s="10"/>
      <c r="D4" s="11"/>
    </row>
    <row r="5" customFormat="false" ht="11.25" hidden="false" customHeight="true" outlineLevel="0" collapsed="false">
      <c r="B5" s="10"/>
      <c r="D5" s="11"/>
    </row>
    <row r="6" customFormat="false" ht="11.25" hidden="false" customHeight="true" outlineLevel="0" collapsed="false">
      <c r="B6" s="10"/>
      <c r="D6" s="11"/>
    </row>
    <row r="7" customFormat="false" ht="13.5" hidden="false" customHeight="true" outlineLevel="0" collapsed="false">
      <c r="B7" s="10"/>
      <c r="D7" s="11"/>
    </row>
    <row r="8" customFormat="false" ht="13.5" hidden="false" customHeight="true" outlineLevel="0" collapsed="false">
      <c r="B8" s="10"/>
      <c r="D8" s="11"/>
    </row>
    <row r="9" customFormat="false" ht="13.5" hidden="false" customHeight="true" outlineLevel="0" collapsed="false">
      <c r="B9" s="10"/>
      <c r="D9" s="11"/>
    </row>
    <row r="12" customFormat="false" ht="14.25" hidden="false" customHeight="true" outlineLevel="0" collapsed="false">
      <c r="A12" s="31" t="s">
        <v>8</v>
      </c>
    </row>
    <row r="13" customFormat="false" ht="14.25" hidden="false" customHeight="true" outlineLevel="0" collapsed="false">
      <c r="A13" s="3" t="s">
        <v>15</v>
      </c>
    </row>
    <row r="14" customFormat="false" ht="14.25" hidden="false" customHeight="true" outlineLevel="0" collapsed="false">
      <c r="A14" s="1" t="s">
        <v>117</v>
      </c>
      <c r="B14" s="32" t="n">
        <v>18</v>
      </c>
      <c r="C14" s="6" t="s">
        <v>118</v>
      </c>
    </row>
    <row r="15" customFormat="false" ht="14.25" hidden="false" customHeight="true" outlineLevel="0" collapsed="false">
      <c r="A15" s="1" t="s">
        <v>119</v>
      </c>
      <c r="B15" s="32" t="n">
        <v>4</v>
      </c>
      <c r="C15" s="6" t="s">
        <v>118</v>
      </c>
    </row>
    <row r="16" customFormat="false" ht="14.25" hidden="false" customHeight="true" outlineLevel="0" collapsed="false">
      <c r="A16" s="1" t="s">
        <v>120</v>
      </c>
      <c r="B16" s="32" t="n">
        <v>22</v>
      </c>
      <c r="C16" s="6" t="s">
        <v>118</v>
      </c>
    </row>
    <row r="17" customFormat="false" ht="14.25" hidden="false" customHeight="true" outlineLevel="0" collapsed="false">
      <c r="A17" s="1"/>
    </row>
    <row r="18" customFormat="false" ht="14.25" hidden="false" customHeight="true" outlineLevel="0" collapsed="false">
      <c r="A18" s="1" t="s">
        <v>22</v>
      </c>
    </row>
    <row r="19" customFormat="false" ht="14.25" hidden="false" customHeight="true" outlineLevel="0" collapsed="false">
      <c r="A19" s="1" t="s">
        <v>29</v>
      </c>
    </row>
    <row r="20" customFormat="false" ht="14.25" hidden="false" customHeight="true" outlineLevel="0" collapsed="false">
      <c r="A20" s="1" t="s">
        <v>34</v>
      </c>
    </row>
    <row r="21" customFormat="false" ht="14.25" hidden="false" customHeight="true" outlineLevel="0" collapsed="false">
      <c r="A21" s="1" t="s">
        <v>37</v>
      </c>
    </row>
    <row r="22" customFormat="false" ht="14.25" hidden="false" customHeight="true" outlineLevel="0" collapsed="false">
      <c r="A22" s="1"/>
    </row>
    <row r="23" customFormat="false" ht="14.25" hidden="false" customHeight="true" outlineLevel="0" collapsed="false">
      <c r="A23" s="3" t="s">
        <v>39</v>
      </c>
    </row>
    <row r="24" customFormat="false" ht="11.25" hidden="false" customHeight="true" outlineLevel="0" collapsed="false">
      <c r="A24" s="6" t="s">
        <v>121</v>
      </c>
      <c r="B24" s="10" t="n">
        <v>7</v>
      </c>
      <c r="C24" s="6" t="s">
        <v>118</v>
      </c>
    </row>
    <row r="25" customFormat="false" ht="11.25" hidden="false" customHeight="true" outlineLevel="0" collapsed="false">
      <c r="A25" s="6" t="s">
        <v>122</v>
      </c>
      <c r="B25" s="10" t="n">
        <v>951</v>
      </c>
      <c r="C25" s="6" t="s">
        <v>116</v>
      </c>
    </row>
    <row r="26" customFormat="false" ht="11.25" hidden="false" customHeight="true" outlineLevel="0" collapsed="false">
      <c r="A26" s="6" t="s">
        <v>123</v>
      </c>
      <c r="B26" s="10" t="n">
        <v>50</v>
      </c>
      <c r="C26" s="6" t="s">
        <v>116</v>
      </c>
    </row>
    <row r="27" customFormat="false" ht="14.25" hidden="false" customHeight="true" outlineLevel="0" collapsed="false">
      <c r="A27" s="1"/>
    </row>
    <row r="28" customFormat="false" ht="14.25" hidden="false" customHeight="true" outlineLevel="0" collapsed="false">
      <c r="A28" s="1" t="s">
        <v>41</v>
      </c>
    </row>
    <row r="29" customFormat="false" ht="14.25" hidden="false" customHeight="true" outlineLevel="0" collapsed="false">
      <c r="A29" s="1" t="s">
        <v>43</v>
      </c>
    </row>
    <row r="30" customFormat="false" ht="14.25" hidden="false" customHeight="true" outlineLevel="0" collapsed="false">
      <c r="A30" s="1" t="s">
        <v>45</v>
      </c>
    </row>
    <row r="31" customFormat="false" ht="14.25" hidden="false" customHeight="true" outlineLevel="0" collapsed="false">
      <c r="A31" s="1" t="s">
        <v>48</v>
      </c>
    </row>
    <row r="32" customFormat="false" ht="14.25" hidden="false" customHeight="true" outlineLevel="0" collapsed="false">
      <c r="A32" s="1" t="s">
        <v>51</v>
      </c>
    </row>
    <row r="33" customFormat="false" ht="14.25" hidden="false" customHeight="true" outlineLevel="0" collapsed="false">
      <c r="A33" s="1" t="s">
        <v>54</v>
      </c>
    </row>
    <row r="34" customFormat="false" ht="14.25" hidden="false" customHeight="true" outlineLevel="0" collapsed="false">
      <c r="A34" s="1" t="s">
        <v>56</v>
      </c>
    </row>
    <row r="35" customFormat="false" ht="14.25" hidden="false" customHeight="true" outlineLevel="0" collapsed="false">
      <c r="A35" s="1" t="s">
        <v>57</v>
      </c>
    </row>
    <row r="36" customFormat="false" ht="14.25" hidden="false" customHeight="true" outlineLevel="0" collapsed="false">
      <c r="A36" s="1" t="s">
        <v>58</v>
      </c>
    </row>
    <row r="37" customFormat="false" ht="14.25" hidden="false" customHeight="true" outlineLevel="0" collapsed="false">
      <c r="A37" s="1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1.25" zeroHeight="false" outlineLevelRow="0" outlineLevelCol="0"/>
  <cols>
    <col collapsed="false" customWidth="true" hidden="false" outlineLevel="0" max="1" min="1" style="33" width="15.91"/>
    <col collapsed="false" customWidth="true" hidden="false" outlineLevel="0" max="2" min="2" style="34" width="41.82"/>
    <col collapsed="false" customWidth="true" hidden="false" outlineLevel="0" max="3" min="3" style="6" width="10.73"/>
    <col collapsed="false" customWidth="false" hidden="false" outlineLevel="0" max="4" min="4" style="6" width="8.73"/>
    <col collapsed="false" customWidth="true" hidden="false" outlineLevel="0" max="5" min="5" style="6" width="49.82"/>
    <col collapsed="false" customWidth="false" hidden="false" outlineLevel="0" max="16384" min="6" style="6" width="8.73"/>
  </cols>
  <sheetData>
    <row r="1" customFormat="false" ht="11.25" hidden="false" customHeight="true" outlineLevel="0" collapsed="false">
      <c r="A1" s="35" t="s">
        <v>124</v>
      </c>
      <c r="B1" s="9" t="s">
        <v>125</v>
      </c>
      <c r="C1" s="10" t="s">
        <v>126</v>
      </c>
      <c r="D1" s="6" t="s">
        <v>113</v>
      </c>
      <c r="E1" s="9" t="s">
        <v>114</v>
      </c>
    </row>
    <row r="2" customFormat="false" ht="13.5" hidden="false" customHeight="true" outlineLevel="0" collapsed="false">
      <c r="A2" s="33" t="n">
        <v>0.1</v>
      </c>
      <c r="B2" s="36" t="s">
        <v>127</v>
      </c>
      <c r="C2" s="10" t="n">
        <v>503</v>
      </c>
      <c r="D2" s="6" t="s">
        <v>116</v>
      </c>
      <c r="E2" s="20" t="s">
        <v>128</v>
      </c>
    </row>
    <row r="3" customFormat="false" ht="13.5" hidden="false" customHeight="true" outlineLevel="0" collapsed="false">
      <c r="B3" s="36" t="s">
        <v>129</v>
      </c>
      <c r="C3" s="10" t="n">
        <v>0</v>
      </c>
      <c r="D3" s="6" t="s">
        <v>116</v>
      </c>
      <c r="E3" s="20" t="s">
        <v>130</v>
      </c>
    </row>
    <row r="4" customFormat="false" ht="13.5" hidden="false" customHeight="true" outlineLevel="0" collapsed="false">
      <c r="B4" s="36" t="s">
        <v>131</v>
      </c>
      <c r="C4" s="10" t="n">
        <v>0</v>
      </c>
      <c r="D4" s="6" t="s">
        <v>116</v>
      </c>
      <c r="E4" s="20" t="s">
        <v>130</v>
      </c>
    </row>
    <row r="5" customFormat="false" ht="13.5" hidden="false" customHeight="true" outlineLevel="0" collapsed="false">
      <c r="A5" s="33" t="n">
        <f aca="false">INDEX(SUMMARY!$A$8:$A$52,MATCH(B5,SUMMARY!$B$8:$B$52,0))</f>
        <v>1.1</v>
      </c>
      <c r="B5" s="36" t="s">
        <v>132</v>
      </c>
      <c r="C5" s="10" t="n">
        <v>393</v>
      </c>
      <c r="D5" s="6" t="s">
        <v>116</v>
      </c>
      <c r="E5" s="20"/>
    </row>
    <row r="6" customFormat="false" ht="13.5" hidden="false" customHeight="true" outlineLevel="0" collapsed="false">
      <c r="A6" s="33" t="n">
        <f aca="false">INDEX(SUMMARY!$A$5:$A$52,MATCH(B6,SUMMARY!$B$5:$B$52,0))</f>
        <v>2.1</v>
      </c>
      <c r="B6" s="36" t="s">
        <v>133</v>
      </c>
      <c r="C6" s="10" t="n">
        <v>960</v>
      </c>
      <c r="D6" s="6" t="s">
        <v>116</v>
      </c>
      <c r="E6" s="20"/>
    </row>
    <row r="7" customFormat="false" ht="13.5" hidden="false" customHeight="true" outlineLevel="0" collapsed="false">
      <c r="A7" s="33" t="n">
        <f aca="false">INDEX(SUMMARY!$A$5:$A$52,MATCH(B7,SUMMARY!$B$5:$B$52,0))</f>
        <v>2.2</v>
      </c>
      <c r="B7" s="36" t="s">
        <v>134</v>
      </c>
      <c r="C7" s="10" t="n">
        <v>686</v>
      </c>
      <c r="D7" s="6" t="s">
        <v>116</v>
      </c>
      <c r="E7" s="20"/>
    </row>
    <row r="8" customFormat="false" ht="13.5" hidden="false" customHeight="true" outlineLevel="0" collapsed="false">
      <c r="A8" s="33" t="n">
        <f aca="false">INDEX(SUMMARY!$A$5:$A$52,MATCH(B8,SUMMARY!$B$5:$B$52,0))</f>
        <v>2.3</v>
      </c>
      <c r="B8" s="36" t="s">
        <v>135</v>
      </c>
      <c r="C8" s="10" t="n">
        <v>271</v>
      </c>
      <c r="D8" s="6" t="s">
        <v>116</v>
      </c>
      <c r="E8" s="20"/>
    </row>
    <row r="9" customFormat="false" ht="11.25" hidden="false" customHeight="true" outlineLevel="0" collapsed="false">
      <c r="A9" s="33" t="n">
        <f aca="false">INDEX(SUMMARY!$A$5:$A$52,MATCH(B9,SUMMARY!$B$5:$B$52,0))</f>
        <v>2.4</v>
      </c>
      <c r="B9" s="36" t="s">
        <v>136</v>
      </c>
      <c r="C9" s="10" t="n">
        <v>8</v>
      </c>
      <c r="D9" s="10" t="s">
        <v>137</v>
      </c>
      <c r="E9" s="20"/>
    </row>
    <row r="10" customFormat="false" ht="13.5" hidden="false" customHeight="true" outlineLevel="0" collapsed="false">
      <c r="A10" s="33" t="n">
        <f aca="false">INDEX(SUMMARY!$A$5:$A$52,MATCH(B10,SUMMARY!$B$5:$B$52,0))</f>
        <v>2.5</v>
      </c>
      <c r="B10" s="36" t="s">
        <v>138</v>
      </c>
      <c r="C10" s="10" t="n">
        <v>581</v>
      </c>
      <c r="D10" s="6" t="s">
        <v>116</v>
      </c>
      <c r="E10" s="20"/>
    </row>
    <row r="11" customFormat="false" ht="13.5" hidden="false" customHeight="true" outlineLevel="0" collapsed="false">
      <c r="A11" s="33" t="n">
        <f aca="false">INDEX(SUMMARY!$A$5:$A$52,MATCH(B11,SUMMARY!$B$5:$B$52,0))</f>
        <v>2.6</v>
      </c>
      <c r="B11" s="36" t="s">
        <v>139</v>
      </c>
      <c r="C11" s="10" t="n">
        <v>203</v>
      </c>
      <c r="D11" s="6" t="s">
        <v>116</v>
      </c>
      <c r="E11" s="20"/>
    </row>
    <row r="12" customFormat="false" ht="13.5" hidden="false" customHeight="true" outlineLevel="0" collapsed="false">
      <c r="A12" s="33" t="n">
        <f aca="false">INDEX(SUMMARY!$A$5:$A$52,MATCH(B12,SUMMARY!$B$5:$B$52,0))</f>
        <v>2.7</v>
      </c>
      <c r="B12" s="36" t="s">
        <v>140</v>
      </c>
      <c r="C12" s="10" t="n">
        <v>902</v>
      </c>
      <c r="D12" s="6" t="s">
        <v>116</v>
      </c>
      <c r="E12" s="20"/>
    </row>
    <row r="13" customFormat="false" ht="13.5" hidden="false" customHeight="true" outlineLevel="0" collapsed="false">
      <c r="A13" s="33" t="n">
        <f aca="false">INDEX(SUMMARY!$A$5:$A$52,MATCH(B13,SUMMARY!$B$5:$B$52,0))</f>
        <v>2.8</v>
      </c>
      <c r="B13" s="36" t="s">
        <v>141</v>
      </c>
      <c r="C13" s="10" t="n">
        <v>77</v>
      </c>
      <c r="D13" s="6" t="s">
        <v>142</v>
      </c>
      <c r="E13" s="20"/>
    </row>
    <row r="14" customFormat="false" ht="13.5" hidden="false" customHeight="true" outlineLevel="0" collapsed="false">
      <c r="A14" s="33" t="n">
        <f aca="false">INDEX(SUMMARY!$A$5:$A$52,MATCH(B14,SUMMARY!$B$5:$B$52,0))</f>
        <v>3.1</v>
      </c>
      <c r="B14" s="36" t="s">
        <v>143</v>
      </c>
      <c r="C14" s="10" t="n">
        <v>3183</v>
      </c>
      <c r="D14" s="6" t="s">
        <v>116</v>
      </c>
      <c r="E14" s="20"/>
    </row>
    <row r="15" customFormat="false" ht="13.5" hidden="false" customHeight="true" outlineLevel="0" collapsed="false">
      <c r="A15" s="33" t="n">
        <f aca="false">INDEX(SUMMARY!$A$5:$A$52,MATCH(B15,SUMMARY!$B$5:$B$52,0))</f>
        <v>3.2</v>
      </c>
      <c r="B15" s="36" t="s">
        <v>144</v>
      </c>
      <c r="C15" s="10" t="n">
        <v>907</v>
      </c>
      <c r="D15" s="6" t="s">
        <v>116</v>
      </c>
      <c r="E15" s="20"/>
    </row>
    <row r="16" customFormat="false" ht="13.5" hidden="false" customHeight="true" outlineLevel="0" collapsed="false">
      <c r="A16" s="33" t="n">
        <f aca="false">INDEX(SUMMARY!$A$5:$A$52,MATCH(B16,SUMMARY!$B$5:$B$52,0))</f>
        <v>3.3</v>
      </c>
      <c r="B16" s="36" t="s">
        <v>145</v>
      </c>
      <c r="C16" s="10" t="n">
        <v>881</v>
      </c>
      <c r="D16" s="6" t="s">
        <v>116</v>
      </c>
      <c r="E16" s="20"/>
    </row>
    <row r="17" customFormat="false" ht="13.5" hidden="false" customHeight="true" outlineLevel="0" collapsed="false">
      <c r="A17" s="33" t="n">
        <f aca="false">SUMMARY!$A$23</f>
        <v>4.1</v>
      </c>
      <c r="B17" s="36" t="s">
        <v>146</v>
      </c>
      <c r="C17" s="10" t="n">
        <v>1</v>
      </c>
      <c r="D17" s="6" t="s">
        <v>116</v>
      </c>
      <c r="E17" s="20"/>
    </row>
    <row r="18" customFormat="false" ht="13.5" hidden="false" customHeight="true" outlineLevel="0" collapsed="false">
      <c r="A18" s="33" t="n">
        <f aca="false">INDEX(SUMMARY!$A$5:$A$52,MATCH(B18,SUMMARY!$B$5:$B$52,0))</f>
        <v>5.1</v>
      </c>
      <c r="B18" s="36" t="s">
        <v>147</v>
      </c>
      <c r="C18" s="10" t="n">
        <v>1</v>
      </c>
      <c r="D18" s="6" t="s">
        <v>116</v>
      </c>
      <c r="E18" s="20"/>
    </row>
    <row r="19" customFormat="false" ht="13.5" hidden="false" customHeight="true" outlineLevel="0" collapsed="false">
      <c r="A19" s="33" t="n">
        <f aca="false">INDEX(SUMMARY!$A$5:$A$52,MATCH(B19,SUMMARY!$B$5:$B$52,0))</f>
        <v>5.2</v>
      </c>
      <c r="B19" s="37" t="s">
        <v>148</v>
      </c>
      <c r="C19" s="10" t="n">
        <v>1</v>
      </c>
      <c r="D19" s="6" t="s">
        <v>116</v>
      </c>
      <c r="E19" s="20"/>
    </row>
    <row r="20" customFormat="false" ht="13.5" hidden="false" customHeight="true" outlineLevel="0" collapsed="false">
      <c r="A20" s="33" t="n">
        <f aca="false">INDEX(SUMMARY!$A$5:$A$52,MATCH(B20,SUMMARY!$B$5:$B$52,0))</f>
        <v>5.3</v>
      </c>
      <c r="B20" s="37" t="s">
        <v>149</v>
      </c>
      <c r="C20" s="10" t="n">
        <v>1</v>
      </c>
      <c r="D20" s="6" t="s">
        <v>116</v>
      </c>
      <c r="E20" s="20"/>
    </row>
    <row r="21" customFormat="false" ht="13.5" hidden="false" customHeight="true" outlineLevel="0" collapsed="false">
      <c r="A21" s="33" t="n">
        <f aca="false">INDEX(SUMMARY!$A$5:$A$52,MATCH(B21,SUMMARY!$B$5:$B$52,0))</f>
        <v>5.4</v>
      </c>
      <c r="B21" s="37" t="s">
        <v>150</v>
      </c>
      <c r="C21" s="10" t="n">
        <v>1</v>
      </c>
      <c r="D21" s="6" t="s">
        <v>116</v>
      </c>
      <c r="E21" s="20"/>
    </row>
    <row r="22" customFormat="false" ht="11.25" hidden="false" customHeight="true" outlineLevel="0" collapsed="false">
      <c r="A22" s="33" t="n">
        <f aca="false">INDEX(SUMMARY!$A$5:$A$52,MATCH(B22,SUMMARY!$B$5:$B$52,0))</f>
        <v>5.5</v>
      </c>
      <c r="B22" s="37" t="s">
        <v>151</v>
      </c>
      <c r="C22" s="10" t="n">
        <v>1</v>
      </c>
      <c r="D22" s="6" t="s">
        <v>118</v>
      </c>
      <c r="E22" s="20"/>
    </row>
    <row r="23" customFormat="false" ht="13.5" hidden="false" customHeight="true" outlineLevel="0" collapsed="false">
      <c r="A23" s="33" t="n">
        <f aca="false">INDEX(SUMMARY!$A$5:$A$52,MATCH(B23,SUMMARY!$B$5:$B$52,0))</f>
        <v>5.6</v>
      </c>
      <c r="B23" s="37" t="s">
        <v>152</v>
      </c>
      <c r="C23" s="10" t="n">
        <v>1</v>
      </c>
      <c r="D23" s="6" t="s">
        <v>116</v>
      </c>
      <c r="E23" s="20"/>
    </row>
    <row r="24" customFormat="false" ht="13.5" hidden="false" customHeight="true" outlineLevel="0" collapsed="false">
      <c r="A24" s="33" t="n">
        <f aca="false">INDEX(SUMMARY!$A$5:$A$52,MATCH(B24,SUMMARY!$B$5:$B$52,0))</f>
        <v>5.7</v>
      </c>
      <c r="B24" s="37" t="s">
        <v>153</v>
      </c>
      <c r="C24" s="10" t="n">
        <v>1</v>
      </c>
      <c r="D24" s="6" t="s">
        <v>116</v>
      </c>
      <c r="E24" s="20"/>
    </row>
    <row r="25" customFormat="false" ht="13.5" hidden="false" customHeight="true" outlineLevel="0" collapsed="false">
      <c r="A25" s="33" t="n">
        <f aca="false">INDEX(SUMMARY!$A$5:$A$52,MATCH(B25,SUMMARY!$B$5:$B$52,0))</f>
        <v>5.8</v>
      </c>
      <c r="B25" s="37" t="s">
        <v>154</v>
      </c>
      <c r="C25" s="10" t="n">
        <v>1</v>
      </c>
      <c r="D25" s="6" t="s">
        <v>116</v>
      </c>
      <c r="E25" s="20"/>
    </row>
    <row r="26" customFormat="false" ht="13.5" hidden="false" customHeight="true" outlineLevel="0" collapsed="false">
      <c r="A26" s="33" t="n">
        <f aca="false">INDEX(SUMMARY!$A$5:$A$52,MATCH(B26,SUMMARY!$B$5:$B$52,0))</f>
        <v>5.9</v>
      </c>
      <c r="B26" s="37" t="s">
        <v>155</v>
      </c>
      <c r="C26" s="10" t="n">
        <v>1</v>
      </c>
      <c r="D26" s="6" t="s">
        <v>116</v>
      </c>
      <c r="E26" s="20"/>
    </row>
    <row r="27" customFormat="false" ht="13.5" hidden="false" customHeight="true" outlineLevel="0" collapsed="false">
      <c r="A27" s="33" t="n">
        <f aca="false">INDEX(SUMMARY!$A$5:$A$52,MATCH(B27,SUMMARY!$B$5:$B$52,0))</f>
        <v>5.1</v>
      </c>
      <c r="B27" s="37" t="s">
        <v>156</v>
      </c>
      <c r="C27" s="10" t="n">
        <v>1</v>
      </c>
      <c r="D27" s="6" t="s">
        <v>116</v>
      </c>
      <c r="E27" s="20"/>
    </row>
    <row r="28" customFormat="false" ht="13.5" hidden="false" customHeight="true" outlineLevel="0" collapsed="false">
      <c r="A28" s="33" t="n">
        <f aca="false">INDEX(SUMMARY!$A$36:$A$52,MATCH(B28,SUMMARY!$B$36:$B$52,0))</f>
        <v>6.1</v>
      </c>
      <c r="B28" s="36" t="s">
        <v>157</v>
      </c>
      <c r="C28" s="10" t="n">
        <v>1000</v>
      </c>
      <c r="D28" s="6" t="s">
        <v>116</v>
      </c>
      <c r="E28" s="20"/>
    </row>
    <row r="29" customFormat="false" ht="13.5" hidden="false" customHeight="true" outlineLevel="0" collapsed="false">
      <c r="A29" s="33" t="n">
        <f aca="false">INDEX(SUMMARY!$A$5:$A$52,MATCH(B29,SUMMARY!$B$5:$B$52,0))</f>
        <v>7.1</v>
      </c>
      <c r="B29" s="36" t="s">
        <v>158</v>
      </c>
      <c r="C29" s="10" t="n">
        <v>1000</v>
      </c>
      <c r="D29" s="6" t="s">
        <v>116</v>
      </c>
      <c r="E29" s="20"/>
    </row>
    <row r="30" customFormat="false" ht="13.5" hidden="false" customHeight="true" outlineLevel="0" collapsed="false">
      <c r="A30" s="33" t="n">
        <f aca="false">INDEX(SUMMARY!$A$5:$A$52,MATCH(B30,SUMMARY!$B$5:$B$52,0))</f>
        <v>7.2</v>
      </c>
      <c r="B30" s="36" t="s">
        <v>159</v>
      </c>
      <c r="C30" s="10" t="n">
        <v>1000</v>
      </c>
      <c r="D30" s="6" t="s">
        <v>116</v>
      </c>
      <c r="E30" s="20"/>
    </row>
    <row r="31" customFormat="false" ht="13.5" hidden="false" customHeight="true" outlineLevel="0" collapsed="false">
      <c r="A31" s="33" t="n">
        <f aca="false">INDEX(SUMMARY!$A$5:$A$52,MATCH(B31,SUMMARY!$B$5:$B$52,0))</f>
        <v>7.3</v>
      </c>
      <c r="B31" s="36" t="s">
        <v>160</v>
      </c>
      <c r="C31" s="10" t="n">
        <v>1000</v>
      </c>
      <c r="D31" s="6" t="s">
        <v>116</v>
      </c>
      <c r="E31" s="20"/>
    </row>
    <row r="32" customFormat="false" ht="13.5" hidden="false" customHeight="true" outlineLevel="0" collapsed="false">
      <c r="A32" s="33" t="n">
        <f aca="false">INDEX(SUMMARY!$A$5:$A$52,MATCH(B32,SUMMARY!$B$5:$B$52,0))</f>
        <v>7.4</v>
      </c>
      <c r="B32" s="36" t="s">
        <v>161</v>
      </c>
      <c r="C32" s="10" t="n">
        <v>1000</v>
      </c>
      <c r="D32" s="6" t="s">
        <v>116</v>
      </c>
    </row>
    <row r="33" customFormat="false" ht="13.5" hidden="false" customHeight="true" outlineLevel="0" collapsed="false">
      <c r="A33" s="33" t="n">
        <f aca="false">INDEX(SUMMARY!$A$5:$A$52,MATCH(B33,SUMMARY!$B$5:$B$52,0))</f>
        <v>7.5</v>
      </c>
      <c r="B33" s="36" t="s">
        <v>162</v>
      </c>
      <c r="C33" s="10" t="n">
        <v>1000</v>
      </c>
      <c r="D33" s="6" t="s">
        <v>116</v>
      </c>
    </row>
    <row r="34" customFormat="false" ht="13.5" hidden="false" customHeight="true" outlineLevel="0" collapsed="false">
      <c r="A34" s="33" t="n">
        <f aca="false">INDEX(SUMMARY!$A$5:$A$52,MATCH(B34,SUMMARY!$B$5:$B$52,0))</f>
        <v>7.6</v>
      </c>
      <c r="B34" s="36" t="s">
        <v>163</v>
      </c>
      <c r="C34" s="10" t="n">
        <v>1000</v>
      </c>
      <c r="D34" s="6" t="s">
        <v>116</v>
      </c>
    </row>
    <row r="35" customFormat="false" ht="13.5" hidden="false" customHeight="true" outlineLevel="0" collapsed="false">
      <c r="A35" s="33" t="n">
        <f aca="false">INDEX(SUMMARY!$A$5:$A$52,MATCH(B35,SUMMARY!$B$5:$B$52,0))</f>
        <v>8.1</v>
      </c>
      <c r="B35" s="36" t="s">
        <v>164</v>
      </c>
      <c r="C35" s="10" t="n">
        <v>1000</v>
      </c>
      <c r="D35" s="6" t="s">
        <v>116</v>
      </c>
    </row>
    <row r="36" customFormat="false" ht="13.5" hidden="false" customHeight="true" outlineLevel="0" collapsed="false">
      <c r="A36" s="33" t="n">
        <f aca="false">INDEX(SUMMARY!$A$5:$A$52,MATCH(B36,SUMMARY!$B$5:$B$52,0))</f>
        <v>8.2</v>
      </c>
      <c r="B36" s="36" t="s">
        <v>165</v>
      </c>
      <c r="C36" s="10" t="n">
        <v>1000</v>
      </c>
      <c r="D36" s="6" t="s">
        <v>116</v>
      </c>
    </row>
    <row r="37" customFormat="false" ht="13.5" hidden="false" customHeight="true" outlineLevel="0" collapsed="false">
      <c r="A37" s="33" t="n">
        <f aca="false">INDEX(SUMMARY!$A$5:$A$52,MATCH(B37,SUMMARY!$B$5:$B$52,0))</f>
        <v>8.3</v>
      </c>
      <c r="B37" s="36" t="s">
        <v>166</v>
      </c>
      <c r="C37" s="10" t="n">
        <v>1000</v>
      </c>
      <c r="D37" s="6" t="s">
        <v>116</v>
      </c>
    </row>
    <row r="38" customFormat="false" ht="13.5" hidden="false" customHeight="true" outlineLevel="0" collapsed="false">
      <c r="A38" s="33" t="n">
        <f aca="false">INDEX(SUMMARY!$A$5:$A$52,MATCH(B38,SUMMARY!$B$5:$B$52,0))</f>
        <v>8.4</v>
      </c>
      <c r="B38" s="36" t="s">
        <v>167</v>
      </c>
      <c r="C38" s="10" t="n">
        <v>1000</v>
      </c>
      <c r="D38" s="6" t="s">
        <v>116</v>
      </c>
    </row>
    <row r="39" customFormat="false" ht="13.5" hidden="false" customHeight="true" outlineLevel="0" collapsed="false">
      <c r="A39" s="33" t="n">
        <f aca="false">INDEX(SUMMARY!$A$5:$A$52,MATCH(B39,SUMMARY!$B$5:$B$52,0))</f>
        <v>8.5</v>
      </c>
      <c r="B39" s="36" t="s">
        <v>168</v>
      </c>
      <c r="C39" s="10" t="n">
        <v>1000</v>
      </c>
      <c r="D39" s="6" t="s">
        <v>116</v>
      </c>
    </row>
    <row r="40" customFormat="false" ht="13.5" hidden="false" customHeight="true" outlineLevel="0" collapsed="false">
      <c r="A40" s="33" t="n">
        <f aca="false">INDEX(SUMMARY!$A$5:$A$52,MATCH(B40,SUMMARY!$B$5:$B$52,0))</f>
        <v>8.6</v>
      </c>
      <c r="B40" s="36" t="s">
        <v>169</v>
      </c>
      <c r="C40" s="10" t="n">
        <v>1000</v>
      </c>
      <c r="D40" s="6" t="s">
        <v>116</v>
      </c>
    </row>
    <row r="41" customFormat="false" ht="13.5" hidden="false" customHeight="true" outlineLevel="0" collapsed="false">
      <c r="A41" s="33" t="n">
        <f aca="false">INDEX(SUMMARY!$A$5:$A$52,MATCH(B41,SUMMARY!$B$5:$B$52,0))</f>
        <v>8.7</v>
      </c>
      <c r="B41" s="36" t="s">
        <v>170</v>
      </c>
      <c r="C41" s="10" t="n">
        <v>1000</v>
      </c>
      <c r="D41" s="6" t="s">
        <v>116</v>
      </c>
    </row>
    <row r="42" customFormat="false" ht="13.5" hidden="false" customHeight="true" outlineLevel="0" collapsed="false">
      <c r="A42" s="33" t="n">
        <f aca="false">INDEX(SUMMARY!$A$5:$A$52,MATCH(B42,SUMMARY!$B$5:$B$52,0))</f>
        <v>8.8</v>
      </c>
      <c r="B42" s="36" t="s">
        <v>171</v>
      </c>
      <c r="C42" s="10" t="n">
        <v>1000</v>
      </c>
      <c r="D42" s="6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DBEE"/>
    <pageSetUpPr fitToPage="false"/>
  </sheetPr>
  <dimension ref="A3:A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9.18359375" defaultRowHeight="12" zeroHeight="false" outlineLevelRow="0" outlineLevelCol="1"/>
  <cols>
    <col collapsed="false" customWidth="true" hidden="false" outlineLevel="0" max="1" min="1" style="38" width="6.27"/>
    <col collapsed="false" customWidth="true" hidden="false" outlineLevel="0" max="2" min="2" style="6" width="39.45"/>
    <col collapsed="false" customWidth="true" hidden="false" outlineLevel="0" max="3" min="3" style="10" width="11.45"/>
    <col collapsed="false" customWidth="true" hidden="false" outlineLevel="0" max="4" min="4" style="6" width="8"/>
    <col collapsed="false" customWidth="true" hidden="false" outlineLevel="1" max="5" min="5" style="39" width="14.82"/>
    <col collapsed="false" customWidth="true" hidden="false" outlineLevel="1" max="6" min="6" style="40" width="15.27"/>
    <col collapsed="false" customWidth="true" hidden="false" outlineLevel="0" max="7" min="7" style="41" width="2.82"/>
    <col collapsed="false" customWidth="true" hidden="false" outlineLevel="1" max="8" min="8" style="39" width="11.82"/>
    <col collapsed="false" customWidth="true" hidden="false" outlineLevel="1" max="9" min="9" style="42" width="15.27"/>
    <col collapsed="false" customWidth="true" hidden="false" outlineLevel="0" max="10" min="10" style="41" width="2.18"/>
    <col collapsed="false" customWidth="true" hidden="false" outlineLevel="1" max="11" min="11" style="39" width="11.82"/>
    <col collapsed="false" customWidth="true" hidden="false" outlineLevel="1" max="12" min="12" style="42" width="15.27"/>
    <col collapsed="false" customWidth="true" hidden="false" outlineLevel="0" max="13" min="13" style="41" width="2.18"/>
    <col collapsed="false" customWidth="true" hidden="false" outlineLevel="1" max="14" min="14" style="39" width="11.82"/>
    <col collapsed="false" customWidth="true" hidden="false" outlineLevel="1" max="15" min="15" style="42" width="15.27"/>
    <col collapsed="false" customWidth="true" hidden="false" outlineLevel="0" max="16" min="16" style="41" width="2.45"/>
    <col collapsed="false" customWidth="true" hidden="false" outlineLevel="1" max="17" min="17" style="39" width="11.82"/>
    <col collapsed="false" customWidth="true" hidden="false" outlineLevel="1" max="18" min="18" style="42" width="15.27"/>
    <col collapsed="false" customWidth="true" hidden="false" outlineLevel="0" max="19" min="19" style="41" width="2.45"/>
    <col collapsed="false" customWidth="true" hidden="false" outlineLevel="1" max="20" min="20" style="39" width="11.82"/>
    <col collapsed="false" customWidth="true" hidden="false" outlineLevel="1" max="21" min="21" style="42" width="17.82"/>
    <col collapsed="false" customWidth="true" hidden="false" outlineLevel="0" max="22" min="22" style="41" width="2.45"/>
    <col collapsed="false" customWidth="true" hidden="false" outlineLevel="1" max="23" min="23" style="39" width="11.82"/>
    <col collapsed="false" customWidth="true" hidden="false" outlineLevel="1" max="24" min="24" style="42" width="15.27"/>
    <col collapsed="false" customWidth="true" hidden="false" outlineLevel="0" max="25" min="25" style="41" width="2.45"/>
    <col collapsed="false" customWidth="true" hidden="false" outlineLevel="1" max="26" min="26" style="39" width="11.82"/>
    <col collapsed="false" customWidth="true" hidden="false" outlineLevel="1" max="27" min="27" style="42" width="15.27"/>
    <col collapsed="false" customWidth="true" hidden="false" outlineLevel="0" max="28" min="28" style="41" width="2.45"/>
    <col collapsed="false" customWidth="true" hidden="false" outlineLevel="1" max="29" min="29" style="39" width="11.82"/>
    <col collapsed="false" customWidth="true" hidden="false" outlineLevel="1" max="30" min="30" style="42" width="15.27"/>
    <col collapsed="false" customWidth="true" hidden="false" outlineLevel="0" max="31" min="31" style="41" width="2.73"/>
    <col collapsed="false" customWidth="true" hidden="false" outlineLevel="1" max="32" min="32" style="39" width="11.82"/>
    <col collapsed="false" customWidth="true" hidden="false" outlineLevel="1" max="33" min="33" style="42" width="15.27"/>
    <col collapsed="false" customWidth="true" hidden="false" outlineLevel="0" max="34" min="34" style="41" width="2.45"/>
    <col collapsed="false" customWidth="true" hidden="false" outlineLevel="1" max="35" min="35" style="39" width="11.82"/>
    <col collapsed="false" customWidth="true" hidden="false" outlineLevel="1" max="36" min="36" style="42" width="15.27"/>
    <col collapsed="false" customWidth="true" hidden="false" outlineLevel="0" max="37" min="37" style="6" width="14.18"/>
    <col collapsed="false" customWidth="true" hidden="false" outlineLevel="0" max="38" min="38" style="6" width="16.27"/>
    <col collapsed="false" customWidth="true" hidden="false" outlineLevel="0" max="39" min="39" style="6" width="13.45"/>
    <col collapsed="false" customWidth="true" hidden="false" outlineLevel="0" max="40" min="40" style="6" width="13.73"/>
    <col collapsed="false" customWidth="true" hidden="false" outlineLevel="0" max="41" min="41" style="6" width="12.45"/>
    <col collapsed="false" customWidth="false" hidden="false" outlineLevel="0" max="16384" min="42" style="6" width="9.18"/>
  </cols>
  <sheetData>
    <row r="3" customFormat="false" ht="12.75" hidden="false" customHeight="true" outlineLevel="0" collapsed="false">
      <c r="E3" s="43" t="str">
        <f aca="false">'Project Information - 1'!B30</f>
        <v>Sample Cost Plan - Elm Court Residential, Rev 01</v>
      </c>
      <c r="F3" s="43"/>
      <c r="G3" s="44"/>
      <c r="H3" s="45" t="s">
        <v>172</v>
      </c>
      <c r="I3" s="45"/>
      <c r="J3" s="44"/>
      <c r="K3" s="45" t="str">
        <f aca="false">'Project Information - 1'!B33</f>
        <v>Ridgeway Construction</v>
      </c>
      <c r="L3" s="45"/>
      <c r="M3" s="44"/>
      <c r="N3" s="45" t="str">
        <f aca="false">'Project Information - 1'!B34</f>
        <v>Brightstone Builders</v>
      </c>
      <c r="O3" s="45"/>
      <c r="P3" s="44"/>
      <c r="Q3" s="45" t="str">
        <f aca="false">'Project Information - 1'!B35</f>
        <v>Kestrel Contractors</v>
      </c>
      <c r="R3" s="45"/>
      <c r="S3" s="44"/>
      <c r="T3" s="45" t="str">
        <f aca="false">'Project Information - 1'!B36</f>
        <v>INSERT CONTRACTOR 4</v>
      </c>
      <c r="U3" s="45"/>
      <c r="V3" s="44"/>
      <c r="W3" s="45" t="str">
        <f aca="false">'Project Information - 1'!B37</f>
        <v>INSERT CONTRACTOR 5</v>
      </c>
      <c r="X3" s="45"/>
      <c r="Y3" s="44"/>
      <c r="Z3" s="45" t="str">
        <f aca="false">'Project Information - 1'!B38</f>
        <v>INSERT CONTRACTOR 6</v>
      </c>
      <c r="AA3" s="45"/>
      <c r="AB3" s="44"/>
      <c r="AC3" s="45" t="str">
        <f aca="false">'Project Information - 1'!B39</f>
        <v>INSERT CONTRACTOR 7</v>
      </c>
      <c r="AD3" s="45"/>
      <c r="AE3" s="44"/>
      <c r="AF3" s="45" t="str">
        <f aca="false">'Project Information - 1'!B43</f>
        <v>INSERT BENCHMARK NAME</v>
      </c>
      <c r="AG3" s="45"/>
      <c r="AH3" s="44"/>
      <c r="AI3" s="45" t="str">
        <f aca="false">'Project Information - 1'!B44</f>
        <v>INSERT BENCHMARK NAME</v>
      </c>
      <c r="AJ3" s="45"/>
      <c r="AL3" s="46" t="s">
        <v>173</v>
      </c>
      <c r="AM3" s="46"/>
      <c r="AN3" s="46" t="s">
        <v>174</v>
      </c>
      <c r="AO3" s="46"/>
    </row>
    <row r="4" s="51" customFormat="true" ht="24" hidden="false" customHeight="true" outlineLevel="0" collapsed="false">
      <c r="A4" s="47" t="s">
        <v>124</v>
      </c>
      <c r="B4" s="47" t="s">
        <v>125</v>
      </c>
      <c r="C4" s="48" t="s">
        <v>175</v>
      </c>
      <c r="D4" s="49" t="s">
        <v>113</v>
      </c>
      <c r="E4" s="48" t="s">
        <v>176</v>
      </c>
      <c r="F4" s="50" t="s">
        <v>177</v>
      </c>
      <c r="H4" s="48" t="s">
        <v>176</v>
      </c>
      <c r="I4" s="50" t="s">
        <v>177</v>
      </c>
      <c r="K4" s="48" t="s">
        <v>176</v>
      </c>
      <c r="L4" s="50" t="s">
        <v>177</v>
      </c>
      <c r="N4" s="48" t="s">
        <v>176</v>
      </c>
      <c r="O4" s="50" t="s">
        <v>177</v>
      </c>
      <c r="Q4" s="48" t="s">
        <v>176</v>
      </c>
      <c r="R4" s="50" t="s">
        <v>177</v>
      </c>
      <c r="T4" s="48" t="s">
        <v>176</v>
      </c>
      <c r="U4" s="50" t="s">
        <v>177</v>
      </c>
      <c r="W4" s="48" t="s">
        <v>176</v>
      </c>
      <c r="X4" s="50" t="s">
        <v>177</v>
      </c>
      <c r="Z4" s="48" t="s">
        <v>176</v>
      </c>
      <c r="AA4" s="50" t="s">
        <v>177</v>
      </c>
      <c r="AC4" s="48" t="s">
        <v>176</v>
      </c>
      <c r="AD4" s="50" t="s">
        <v>177</v>
      </c>
      <c r="AF4" s="48" t="s">
        <v>176</v>
      </c>
      <c r="AG4" s="50" t="s">
        <v>177</v>
      </c>
      <c r="AI4" s="48" t="s">
        <v>176</v>
      </c>
      <c r="AJ4" s="50" t="s">
        <v>177</v>
      </c>
      <c r="AL4" s="51" t="s">
        <v>178</v>
      </c>
      <c r="AM4" s="51" t="s">
        <v>179</v>
      </c>
      <c r="AN4" s="51" t="s">
        <v>178</v>
      </c>
      <c r="AO4" s="51" t="s">
        <v>179</v>
      </c>
    </row>
    <row r="5" customFormat="false" ht="12.75" hidden="false" customHeight="true" outlineLevel="0" collapsed="false">
      <c r="A5" s="35" t="n">
        <v>0</v>
      </c>
      <c r="B5" s="52" t="s">
        <v>180</v>
      </c>
      <c r="C5" s="53"/>
      <c r="D5" s="54"/>
      <c r="E5" s="55"/>
      <c r="F5" s="55" t="n">
        <f aca="false">SUBTOTAL(9,F6:F6)</f>
        <v>430551.5</v>
      </c>
      <c r="G5" s="56"/>
      <c r="H5" s="55"/>
      <c r="I5" s="55" t="n">
        <f aca="false">SUBTOTAL(9,I6:I6)</f>
        <v>270028</v>
      </c>
      <c r="J5" s="55"/>
      <c r="K5" s="55"/>
      <c r="L5" s="55" t="n">
        <f aca="false">SUBTOTAL(9,L6:L6)</f>
        <v>430551.5</v>
      </c>
      <c r="M5" s="55"/>
      <c r="N5" s="55"/>
      <c r="O5" s="55" t="n">
        <f aca="false">SUBTOTAL(9,O6:O6)</f>
        <v>195746</v>
      </c>
      <c r="P5" s="55"/>
      <c r="Q5" s="55"/>
      <c r="R5" s="55" t="n">
        <f aca="false">SUBTOTAL(9,R6:R6)</f>
        <v>183786.5</v>
      </c>
      <c r="S5" s="55"/>
      <c r="T5" s="55"/>
      <c r="U5" s="55" t="n">
        <f aca="false">SUBTOTAL(9,U6:U6)</f>
        <v>198451.5</v>
      </c>
      <c r="V5" s="55"/>
      <c r="W5" s="55"/>
      <c r="X5" s="55" t="n">
        <f aca="false">SUBTOTAL(9,X6:X6)</f>
        <v>0</v>
      </c>
      <c r="Y5" s="55"/>
      <c r="Z5" s="55"/>
      <c r="AA5" s="55" t="n">
        <f aca="false">SUBTOTAL(9,AA6:AA6)</f>
        <v>0</v>
      </c>
      <c r="AB5" s="55"/>
      <c r="AC5" s="55"/>
      <c r="AD5" s="55" t="n">
        <f aca="false">SUBTOTAL(9,AD6:AD6)</f>
        <v>0</v>
      </c>
      <c r="AE5" s="55"/>
      <c r="AF5" s="55"/>
      <c r="AG5" s="55" t="n">
        <f aca="false">SUBTOTAL(9,AG6)</f>
        <v>0</v>
      </c>
      <c r="AH5" s="55"/>
      <c r="AI5" s="55"/>
      <c r="AJ5" s="55" t="n">
        <f aca="false">SUBTOTAL(9,AJ6)</f>
        <v>0</v>
      </c>
    </row>
    <row r="6" customFormat="false" ht="13.5" hidden="false" customHeight="true" outlineLevel="0" collapsed="false">
      <c r="A6" s="183" t="n">
        <v>0.1</v>
      </c>
      <c r="B6" s="20" t="s">
        <v>127</v>
      </c>
      <c r="C6" s="58" t="n">
        <f aca="false">'Project Information - 3'!$C$2</f>
        <v>503</v>
      </c>
      <c r="D6" s="6" t="s">
        <v>116</v>
      </c>
      <c r="E6" s="59" t="n">
        <f aca="false">SUM(F6)/$C6</f>
        <v>855.967196819086</v>
      </c>
      <c r="F6" s="59" t="n">
        <f aca="false">'0.1 Demolition &amp; alterations'!F54</f>
        <v>430551.5</v>
      </c>
      <c r="G6" s="56"/>
      <c r="H6" s="59" t="n">
        <f aca="false">SUM(I6)/$C6</f>
        <v>536.834990059642</v>
      </c>
      <c r="I6" s="59" t="n">
        <f aca="false">AVERAGE(L6,O6,R6)</f>
        <v>270028</v>
      </c>
      <c r="J6" s="55"/>
      <c r="K6" s="59"/>
      <c r="L6" s="59" t="n">
        <f aca="false">'0.1 Demolition &amp; alterations'!F54</f>
        <v>430551.5</v>
      </c>
      <c r="M6" s="55"/>
      <c r="N6" s="59"/>
      <c r="O6" s="59" t="n">
        <f aca="false">'0.1 Demolition &amp; alterations'!K54</f>
        <v>195746</v>
      </c>
      <c r="P6" s="55"/>
      <c r="Q6" s="59"/>
      <c r="R6" s="59" t="n">
        <f aca="false">'0.1 Demolition &amp; alterations'!P54</f>
        <v>183786.5</v>
      </c>
      <c r="S6" s="55"/>
      <c r="T6" s="59"/>
      <c r="U6" s="59" t="n">
        <f aca="false">'0.1 Demolition &amp; alterations'!U54</f>
        <v>198451.5</v>
      </c>
      <c r="V6" s="55"/>
      <c r="W6" s="59"/>
      <c r="X6" s="59"/>
      <c r="Y6" s="55"/>
      <c r="Z6" s="59"/>
      <c r="AA6" s="59"/>
      <c r="AB6" s="55"/>
      <c r="AC6" s="59"/>
      <c r="AD6" s="59"/>
      <c r="AE6" s="55"/>
      <c r="AF6" s="59"/>
      <c r="AG6" s="59"/>
      <c r="AH6" s="55"/>
      <c r="AI6" s="59"/>
      <c r="AJ6" s="59"/>
    </row>
    <row r="7" customFormat="false" ht="12.75" hidden="false" customHeight="true" outlineLevel="0" collapsed="false">
      <c r="A7" s="35" t="n">
        <v>1</v>
      </c>
      <c r="B7" s="52" t="s">
        <v>132</v>
      </c>
      <c r="C7" s="53"/>
      <c r="D7" s="53"/>
      <c r="E7" s="55"/>
      <c r="F7" s="55" t="n">
        <f aca="false">SUBTOTAL(9,F8:F8)</f>
        <v>153205</v>
      </c>
      <c r="G7" s="56"/>
      <c r="H7" s="55"/>
      <c r="I7" s="55" t="n">
        <f aca="false">SUBTOTAL(9,I8:I8)</f>
        <v>130593</v>
      </c>
      <c r="J7" s="55"/>
      <c r="K7" s="55"/>
      <c r="L7" s="55" t="n">
        <f aca="false">SUBTOTAL(9,L8:L8)</f>
        <v>108987</v>
      </c>
      <c r="M7" s="55"/>
      <c r="N7" s="55"/>
      <c r="O7" s="55" t="n">
        <f aca="false">SUBTOTAL(9,O8:O8)</f>
        <v>172205</v>
      </c>
      <c r="P7" s="55"/>
      <c r="Q7" s="55"/>
      <c r="R7" s="55" t="n">
        <f aca="false">SUBTOTAL(9,R8:R8)</f>
        <v>110587</v>
      </c>
      <c r="S7" s="55"/>
      <c r="T7" s="55"/>
      <c r="U7" s="55" t="n">
        <f aca="false">SUBTOTAL(9,U8:U8)</f>
        <v>0</v>
      </c>
      <c r="V7" s="55"/>
      <c r="W7" s="55"/>
      <c r="X7" s="55" t="n">
        <f aca="false">SUBTOTAL(9,X8:X8)</f>
        <v>0</v>
      </c>
      <c r="Y7" s="55"/>
      <c r="Z7" s="55"/>
      <c r="AA7" s="55" t="n">
        <f aca="false">SUBTOTAL(9,AA8:AA8)</f>
        <v>0</v>
      </c>
      <c r="AB7" s="55"/>
      <c r="AC7" s="55"/>
      <c r="AD7" s="55" t="n">
        <f aca="false">SUBTOTAL(9,AD8:AD8)</f>
        <v>0</v>
      </c>
      <c r="AE7" s="55"/>
      <c r="AF7" s="55"/>
      <c r="AG7" s="55" t="n">
        <f aca="false">SUBTOTAL(9,AG8:AG8)</f>
        <v>0</v>
      </c>
      <c r="AH7" s="55"/>
      <c r="AI7" s="55"/>
      <c r="AJ7" s="55" t="n">
        <f aca="false">SUBTOTAL(9,AJ8:AJ8)</f>
        <v>0</v>
      </c>
    </row>
    <row r="8" customFormat="false" ht="12.75" hidden="false" customHeight="true" outlineLevel="0" collapsed="false">
      <c r="A8" s="183" t="n">
        <v>1.1</v>
      </c>
      <c r="B8" s="20" t="s">
        <v>132</v>
      </c>
      <c r="C8" s="58" t="n">
        <f aca="false">'Project Information - 3'!$C$5</f>
        <v>393</v>
      </c>
      <c r="D8" s="6" t="s">
        <v>116</v>
      </c>
      <c r="E8" s="59" t="n">
        <f aca="false">SUM(F8)/$C8</f>
        <v>389.834605597964</v>
      </c>
      <c r="F8" s="59" t="n">
        <f aca="false">'1.1 Substructure'!F54</f>
        <v>153205</v>
      </c>
      <c r="G8" s="56"/>
      <c r="H8" s="59" t="n">
        <f aca="false">SUM(I8)/$C8</f>
        <v>332.297709923664</v>
      </c>
      <c r="I8" s="59" t="n">
        <f aca="false">AVERAGE(L8,O8,R8)</f>
        <v>130593</v>
      </c>
      <c r="J8" s="55"/>
      <c r="K8" s="59" t="n">
        <f aca="false">SUM(L8)/$C8</f>
        <v>277.320610687023</v>
      </c>
      <c r="L8" s="59" t="n">
        <f aca="false">'1.1 Substructure'!K54</f>
        <v>108987</v>
      </c>
      <c r="M8" s="55"/>
      <c r="N8" s="59" t="n">
        <f aca="false">SUM(O8)/$C8</f>
        <v>438.180661577608</v>
      </c>
      <c r="O8" s="59" t="n">
        <f aca="false">'1.1 Substructure'!P54</f>
        <v>172205</v>
      </c>
      <c r="P8" s="55"/>
      <c r="Q8" s="59" t="n">
        <f aca="false">SUM(R8)/$C8</f>
        <v>281.391857506361</v>
      </c>
      <c r="R8" s="59" t="n">
        <f aca="false">'1.1 Substructure'!U54</f>
        <v>110587</v>
      </c>
      <c r="S8" s="55"/>
      <c r="T8" s="59" t="n">
        <f aca="false">SUM(U8)/$C8</f>
        <v>0</v>
      </c>
      <c r="U8" s="59" t="n">
        <f aca="false">'1.1 Substructure'!Z54</f>
        <v>0</v>
      </c>
      <c r="V8" s="55"/>
      <c r="W8" s="59" t="n">
        <f aca="false">SUM(X8)/$C8</f>
        <v>0</v>
      </c>
      <c r="X8" s="59" t="n">
        <f aca="false">'1.1 Substructure'!AE54</f>
        <v>0</v>
      </c>
      <c r="Y8" s="55"/>
      <c r="Z8" s="59" t="n">
        <f aca="false">SUM(AA8)/$C8</f>
        <v>0</v>
      </c>
      <c r="AA8" s="59" t="n">
        <f aca="false">'1.1 Substructure'!AJ54</f>
        <v>0</v>
      </c>
      <c r="AB8" s="55"/>
      <c r="AC8" s="59" t="n">
        <f aca="false">SUM(AD8)/$C8</f>
        <v>0</v>
      </c>
      <c r="AD8" s="59" t="n">
        <f aca="false">'1.1 Substructure'!AO54</f>
        <v>0</v>
      </c>
      <c r="AE8" s="55"/>
      <c r="AF8" s="59" t="n">
        <f aca="false">SUM(AG8)/$C8</f>
        <v>0</v>
      </c>
      <c r="AG8" s="59"/>
      <c r="AH8" s="55"/>
      <c r="AI8" s="59" t="n">
        <f aca="false">SUM(AJ8)/$C8</f>
        <v>0</v>
      </c>
      <c r="AJ8" s="59"/>
    </row>
    <row r="9" customFormat="false" ht="12.75" hidden="false" customHeight="true" outlineLevel="0" collapsed="false">
      <c r="A9" s="35" t="n">
        <v>2</v>
      </c>
      <c r="B9" s="52" t="s">
        <v>181</v>
      </c>
      <c r="C9" s="53"/>
      <c r="D9" s="53"/>
      <c r="E9" s="55"/>
      <c r="F9" s="55" t="n">
        <f aca="false">SUM(F10:F17)</f>
        <v>1051375</v>
      </c>
      <c r="G9" s="56"/>
      <c r="H9" s="55"/>
      <c r="I9" s="55" t="n">
        <f aca="false">SUM(I10:I17)</f>
        <v>1051375</v>
      </c>
      <c r="J9" s="55"/>
      <c r="K9" s="55"/>
      <c r="L9" s="55" t="n">
        <f aca="false">SUM(L10:L17)</f>
        <v>1051375</v>
      </c>
      <c r="M9" s="55"/>
      <c r="N9" s="55"/>
      <c r="O9" s="55" t="n">
        <f aca="false">SUM(O10:O17)</f>
        <v>1051375</v>
      </c>
      <c r="P9" s="55"/>
      <c r="Q9" s="55"/>
      <c r="R9" s="55" t="n">
        <f aca="false">SUM(R10:R17)</f>
        <v>1051375</v>
      </c>
      <c r="S9" s="55"/>
      <c r="T9" s="55"/>
      <c r="U9" s="55" t="n">
        <f aca="false">SUM(U10:U17)</f>
        <v>0</v>
      </c>
      <c r="V9" s="55"/>
      <c r="W9" s="55"/>
      <c r="X9" s="55" t="n">
        <f aca="false">SUM(X10:X17)</f>
        <v>0</v>
      </c>
      <c r="Y9" s="55"/>
      <c r="Z9" s="55"/>
      <c r="AA9" s="55" t="n">
        <f aca="false">SUM(AA10:AA17)</f>
        <v>0</v>
      </c>
      <c r="AB9" s="55"/>
      <c r="AC9" s="55"/>
      <c r="AD9" s="55" t="n">
        <f aca="false">SUM(AD10:AD17)</f>
        <v>0</v>
      </c>
      <c r="AE9" s="55"/>
      <c r="AF9" s="55"/>
      <c r="AG9" s="55" t="n">
        <f aca="false">SUM(AG10:AG14)</f>
        <v>0</v>
      </c>
      <c r="AH9" s="55"/>
      <c r="AI9" s="55" t="e">
        <f aca="false">AJ9/'Project Information - 1'!$G$3</f>
        <v>#DIV/0!</v>
      </c>
      <c r="AJ9" s="55" t="n">
        <f aca="false">SUM(AJ10:AJ14)</f>
        <v>0</v>
      </c>
    </row>
    <row r="10" customFormat="false" ht="12.75" hidden="false" customHeight="true" outlineLevel="0" collapsed="false">
      <c r="A10" s="183" t="n">
        <v>2.1</v>
      </c>
      <c r="B10" s="36" t="s">
        <v>133</v>
      </c>
      <c r="C10" s="60" t="n">
        <f aca="false">'Project Information - 3'!$C$6</f>
        <v>960</v>
      </c>
      <c r="D10" s="6" t="s">
        <v>116</v>
      </c>
      <c r="E10" s="59" t="n">
        <f aca="false">SUM(F10)/$C10</f>
        <v>491.640625</v>
      </c>
      <c r="F10" s="59" t="n">
        <f aca="false">'2.1 Frame'!F54</f>
        <v>471975</v>
      </c>
      <c r="G10" s="56"/>
      <c r="H10" s="59" t="n">
        <f aca="false">SUM(I10)/$C10</f>
        <v>491.640625</v>
      </c>
      <c r="I10" s="59" t="n">
        <f aca="false">AVERAGE(L10,O10,R10)</f>
        <v>471975</v>
      </c>
      <c r="J10" s="55"/>
      <c r="K10" s="59" t="n">
        <f aca="false">SUM(L10)/$C10</f>
        <v>491.640625</v>
      </c>
      <c r="L10" s="59" t="n">
        <f aca="false">'2.1 Frame'!K54</f>
        <v>471975</v>
      </c>
      <c r="M10" s="55"/>
      <c r="N10" s="59" t="n">
        <f aca="false">SUM(O10)/$C10</f>
        <v>491.640625</v>
      </c>
      <c r="O10" s="59" t="n">
        <f aca="false">'2.1 Frame'!P54</f>
        <v>471975</v>
      </c>
      <c r="P10" s="55"/>
      <c r="Q10" s="59" t="n">
        <f aca="false">SUM(R10)/$C10</f>
        <v>491.640625</v>
      </c>
      <c r="R10" s="59" t="n">
        <f aca="false">'2.1 Frame'!U54</f>
        <v>471975</v>
      </c>
      <c r="S10" s="55"/>
      <c r="T10" s="59" t="n">
        <f aca="false">SUM(U10)/$C10</f>
        <v>0</v>
      </c>
      <c r="U10" s="59" t="n">
        <f aca="false">'2.1 Frame'!Z54</f>
        <v>0</v>
      </c>
      <c r="V10" s="55"/>
      <c r="W10" s="59" t="n">
        <f aca="false">SUM(X10)/$C10</f>
        <v>0</v>
      </c>
      <c r="X10" s="59" t="n">
        <f aca="false">'2.1 Frame'!AE54</f>
        <v>0</v>
      </c>
      <c r="Y10" s="55"/>
      <c r="Z10" s="59" t="n">
        <f aca="false">SUM(AA10)/$C10</f>
        <v>0</v>
      </c>
      <c r="AA10" s="59" t="n">
        <f aca="false">'2.1 Frame'!AJ54</f>
        <v>0</v>
      </c>
      <c r="AB10" s="55"/>
      <c r="AC10" s="59" t="n">
        <f aca="false">SUM(AD10)/$C10</f>
        <v>0</v>
      </c>
      <c r="AD10" s="59" t="n">
        <f aca="false">'2.1 Frame'!AO54</f>
        <v>0</v>
      </c>
      <c r="AE10" s="55"/>
      <c r="AF10" s="59" t="n">
        <f aca="false">SUM(AG10)/$C10</f>
        <v>0</v>
      </c>
      <c r="AG10" s="59"/>
      <c r="AH10" s="55"/>
      <c r="AI10" s="59" t="n">
        <f aca="false">SUM(AJ10)/$C10</f>
        <v>0</v>
      </c>
      <c r="AJ10" s="59"/>
    </row>
    <row r="11" customFormat="false" ht="12.75" hidden="false" customHeight="true" outlineLevel="0" collapsed="false">
      <c r="A11" s="183" t="n">
        <v>2.2</v>
      </c>
      <c r="B11" s="36" t="s">
        <v>182</v>
      </c>
      <c r="C11" s="60" t="n">
        <f aca="false">'Project Information - 3'!$C$7</f>
        <v>686</v>
      </c>
      <c r="D11" s="6" t="s">
        <v>116</v>
      </c>
      <c r="E11" s="59" t="n">
        <f aca="false">SUM(F11)/$C11</f>
        <v>525.123906705539</v>
      </c>
      <c r="F11" s="59" t="n">
        <f aca="false">'2.2 Upper floors'!F54</f>
        <v>360235</v>
      </c>
      <c r="G11" s="56"/>
      <c r="H11" s="59" t="n">
        <f aca="false">SUM(I11)/$C11</f>
        <v>525.123906705539</v>
      </c>
      <c r="I11" s="59" t="n">
        <f aca="false">AVERAGE(L11,O11,R11)</f>
        <v>360235</v>
      </c>
      <c r="J11" s="55"/>
      <c r="K11" s="59" t="n">
        <f aca="false">SUM(L11)/$C11</f>
        <v>525.123906705539</v>
      </c>
      <c r="L11" s="59" t="n">
        <f aca="false">'2.2 Upper floors'!K54</f>
        <v>360235</v>
      </c>
      <c r="M11" s="55"/>
      <c r="N11" s="59" t="n">
        <f aca="false">SUM(O11)/$C11</f>
        <v>525.123906705539</v>
      </c>
      <c r="O11" s="59" t="n">
        <f aca="false">'2.2 Upper floors'!P54</f>
        <v>360235</v>
      </c>
      <c r="P11" s="55"/>
      <c r="Q11" s="59" t="n">
        <f aca="false">SUM(R11)/$C11</f>
        <v>525.123906705539</v>
      </c>
      <c r="R11" s="59" t="n">
        <f aca="false">'2.2 Upper floors'!U54</f>
        <v>360235</v>
      </c>
      <c r="S11" s="55"/>
      <c r="T11" s="59" t="n">
        <f aca="false">SUM(U11)/$C11</f>
        <v>0</v>
      </c>
      <c r="U11" s="59" t="n">
        <f aca="false">'2.2 Upper floors'!Z54</f>
        <v>0</v>
      </c>
      <c r="V11" s="55"/>
      <c r="W11" s="59" t="n">
        <f aca="false">SUM(X11)/$C11</f>
        <v>0</v>
      </c>
      <c r="X11" s="59" t="n">
        <f aca="false">'2.2 Upper floors'!AE54</f>
        <v>0</v>
      </c>
      <c r="Y11" s="55"/>
      <c r="Z11" s="59" t="n">
        <f aca="false">SUM(AA11)/$C11</f>
        <v>0</v>
      </c>
      <c r="AA11" s="59" t="n">
        <f aca="false">'2.2 Upper floors'!AJ54</f>
        <v>0</v>
      </c>
      <c r="AB11" s="55"/>
      <c r="AC11" s="59" t="n">
        <f aca="false">SUM(AD11)/$C11</f>
        <v>0</v>
      </c>
      <c r="AD11" s="59" t="n">
        <f aca="false">'2.2 Upper floors'!AO54</f>
        <v>0</v>
      </c>
      <c r="AE11" s="55"/>
      <c r="AF11" s="59" t="n">
        <f aca="false">SUM(AG11)/$C11</f>
        <v>0</v>
      </c>
      <c r="AG11" s="59"/>
      <c r="AH11" s="55"/>
      <c r="AI11" s="59" t="n">
        <f aca="false">SUM(AJ11)/$C11</f>
        <v>0</v>
      </c>
      <c r="AJ11" s="59"/>
    </row>
    <row r="12" customFormat="false" ht="12.75" hidden="false" customHeight="true" outlineLevel="0" collapsed="false">
      <c r="A12" s="183" t="n">
        <v>2.3</v>
      </c>
      <c r="B12" s="36" t="s">
        <v>135</v>
      </c>
      <c r="C12" s="60" t="n">
        <f aca="false">'Project Information - 3'!$C$8</f>
        <v>271</v>
      </c>
      <c r="D12" s="6" t="s">
        <v>116</v>
      </c>
      <c r="E12" s="59" t="n">
        <f aca="false">SUM(F12)/$C12</f>
        <v>184.50184501845</v>
      </c>
      <c r="F12" s="59" t="n">
        <f aca="false">'2.3 Roof'!F54</f>
        <v>50000</v>
      </c>
      <c r="G12" s="56"/>
      <c r="H12" s="59" t="n">
        <f aca="false">SUM(I12)/$C12</f>
        <v>184.50184501845</v>
      </c>
      <c r="I12" s="59" t="n">
        <f aca="false">AVERAGE(L12,O12,R12)</f>
        <v>50000</v>
      </c>
      <c r="J12" s="55"/>
      <c r="K12" s="59" t="n">
        <f aca="false">SUM(L12)/$C12</f>
        <v>184.50184501845</v>
      </c>
      <c r="L12" s="59" t="n">
        <f aca="false">'2.3 Roof'!K54</f>
        <v>50000</v>
      </c>
      <c r="M12" s="55"/>
      <c r="N12" s="59" t="n">
        <f aca="false">SUM(O12)/$C12</f>
        <v>184.50184501845</v>
      </c>
      <c r="O12" s="59" t="n">
        <f aca="false">'2.3 Roof'!P54</f>
        <v>50000</v>
      </c>
      <c r="P12" s="59"/>
      <c r="Q12" s="59" t="n">
        <f aca="false">SUM(R12)/$C12</f>
        <v>184.50184501845</v>
      </c>
      <c r="R12" s="59" t="n">
        <f aca="false">'2.3 Roof'!U54</f>
        <v>50000</v>
      </c>
      <c r="S12" s="59"/>
      <c r="T12" s="59" t="n">
        <f aca="false">SUM(U12)/$C12</f>
        <v>0</v>
      </c>
      <c r="U12" s="59" t="n">
        <f aca="false">'2.3 Roof'!Z54</f>
        <v>0</v>
      </c>
      <c r="V12" s="59"/>
      <c r="W12" s="59" t="n">
        <f aca="false">SUM(X12)/$C12</f>
        <v>0</v>
      </c>
      <c r="X12" s="59" t="n">
        <f aca="false">'2.3 Roof'!AE54</f>
        <v>0</v>
      </c>
      <c r="Y12" s="59"/>
      <c r="Z12" s="59" t="n">
        <f aca="false">SUM(AA12)/$C12</f>
        <v>0</v>
      </c>
      <c r="AA12" s="59" t="n">
        <f aca="false">'2.3 Roof'!AJ54</f>
        <v>0</v>
      </c>
      <c r="AB12" s="59"/>
      <c r="AC12" s="59" t="n">
        <f aca="false">SUM(AD12)/$C12</f>
        <v>0</v>
      </c>
      <c r="AD12" s="59" t="n">
        <f aca="false">'2.3 Roof'!AO54</f>
        <v>0</v>
      </c>
      <c r="AE12" s="55"/>
      <c r="AF12" s="59" t="n">
        <f aca="false">SUM(AG12)/$C12</f>
        <v>0</v>
      </c>
      <c r="AG12" s="59"/>
      <c r="AH12" s="55"/>
      <c r="AI12" s="59" t="n">
        <f aca="false">SUM(AJ12)/$C12</f>
        <v>0</v>
      </c>
      <c r="AJ12" s="59"/>
      <c r="AL12" s="61"/>
      <c r="AM12" s="61"/>
      <c r="AN12" s="61"/>
      <c r="AO12" s="61"/>
    </row>
    <row r="13" customFormat="false" ht="12.75" hidden="false" customHeight="true" outlineLevel="0" collapsed="false">
      <c r="A13" s="183" t="n">
        <v>2.4</v>
      </c>
      <c r="B13" s="36" t="s">
        <v>136</v>
      </c>
      <c r="C13" s="60" t="n">
        <f aca="false">'Project Information - 3'!$C$9</f>
        <v>8</v>
      </c>
      <c r="D13" s="10" t="s">
        <v>137</v>
      </c>
      <c r="E13" s="59" t="n">
        <f aca="false">SUM(F13)/$C13</f>
        <v>2500</v>
      </c>
      <c r="F13" s="59" t="n">
        <f aca="false">'2.4 Stairs and Ramps'!F54</f>
        <v>20000</v>
      </c>
      <c r="G13" s="56"/>
      <c r="H13" s="59" t="n">
        <f aca="false">SUM(I13)/$C13</f>
        <v>2500</v>
      </c>
      <c r="I13" s="59" t="n">
        <f aca="false">AVERAGE(L13,O13,R13)</f>
        <v>20000</v>
      </c>
      <c r="J13" s="55"/>
      <c r="K13" s="59" t="n">
        <f aca="false">SUM(L13)/$C13</f>
        <v>2500</v>
      </c>
      <c r="L13" s="59" t="n">
        <f aca="false">'2.4 Stairs and Ramps'!K54</f>
        <v>20000</v>
      </c>
      <c r="M13" s="55"/>
      <c r="N13" s="59" t="n">
        <f aca="false">SUM(O13)/$C13</f>
        <v>2500</v>
      </c>
      <c r="O13" s="59" t="n">
        <f aca="false">'2.4 Stairs and Ramps'!P54</f>
        <v>20000</v>
      </c>
      <c r="P13" s="55"/>
      <c r="Q13" s="59" t="n">
        <f aca="false">SUM(R13)/$C13</f>
        <v>2500</v>
      </c>
      <c r="R13" s="59" t="n">
        <f aca="false">'2.4 Stairs and Ramps'!U54</f>
        <v>20000</v>
      </c>
      <c r="S13" s="55"/>
      <c r="T13" s="59" t="n">
        <f aca="false">SUM(U13)/$C13</f>
        <v>0</v>
      </c>
      <c r="U13" s="59" t="n">
        <f aca="false">'2.4 Stairs and Ramps'!Z54</f>
        <v>0</v>
      </c>
      <c r="V13" s="55"/>
      <c r="W13" s="59" t="n">
        <f aca="false">SUM(X13)/$C13</f>
        <v>0</v>
      </c>
      <c r="X13" s="59" t="n">
        <f aca="false">'2.4 Stairs and Ramps'!AE54</f>
        <v>0</v>
      </c>
      <c r="Y13" s="55"/>
      <c r="Z13" s="59" t="n">
        <f aca="false">SUM(AA13)/$C13</f>
        <v>0</v>
      </c>
      <c r="AA13" s="59" t="n">
        <f aca="false">'2.4 Stairs and Ramps'!AJ54</f>
        <v>0</v>
      </c>
      <c r="AB13" s="55"/>
      <c r="AC13" s="59" t="n">
        <f aca="false">SUM(AD13)/$C13</f>
        <v>0</v>
      </c>
      <c r="AD13" s="59" t="n">
        <f aca="false">'2.4 Stairs and Ramps'!AO54</f>
        <v>0</v>
      </c>
      <c r="AE13" s="55"/>
      <c r="AF13" s="59" t="n">
        <f aca="false">SUM(AG13)/$C13</f>
        <v>0</v>
      </c>
      <c r="AG13" s="59"/>
      <c r="AH13" s="55"/>
      <c r="AI13" s="59" t="n">
        <f aca="false">SUM(AJ13)/$C13</f>
        <v>0</v>
      </c>
      <c r="AJ13" s="59"/>
    </row>
    <row r="14" customFormat="false" ht="12.75" hidden="false" customHeight="true" outlineLevel="0" collapsed="false">
      <c r="A14" s="183" t="n">
        <v>2.5</v>
      </c>
      <c r="B14" s="36" t="s">
        <v>183</v>
      </c>
      <c r="C14" s="10" t="n">
        <f aca="false">'Project Information - 3'!$C$10</f>
        <v>581</v>
      </c>
      <c r="D14" s="6" t="s">
        <v>116</v>
      </c>
      <c r="E14" s="59" t="n">
        <f aca="false">SUM(F14)/$C14</f>
        <v>33.5628227194492</v>
      </c>
      <c r="F14" s="59" t="n">
        <f aca="false">'2.5 External walls'!F55</f>
        <v>19500</v>
      </c>
      <c r="G14" s="56"/>
      <c r="H14" s="59" t="n">
        <f aca="false">SUM(I14)/$C14</f>
        <v>33.5628227194492</v>
      </c>
      <c r="I14" s="59" t="n">
        <f aca="false">AVERAGE(L14,O14,R14)</f>
        <v>19500</v>
      </c>
      <c r="J14" s="55"/>
      <c r="K14" s="59" t="n">
        <f aca="false">SUM(L14)/$C14</f>
        <v>33.5628227194492</v>
      </c>
      <c r="L14" s="59" t="n">
        <f aca="false">'2.5 External walls'!K55</f>
        <v>19500</v>
      </c>
      <c r="M14" s="55"/>
      <c r="N14" s="59" t="n">
        <f aca="false">SUM(O14)/$C14</f>
        <v>33.5628227194492</v>
      </c>
      <c r="O14" s="59" t="n">
        <f aca="false">'2.5 External walls'!P55</f>
        <v>19500</v>
      </c>
      <c r="P14" s="55"/>
      <c r="Q14" s="59" t="n">
        <f aca="false">SUM(R14)/$C14</f>
        <v>33.5628227194492</v>
      </c>
      <c r="R14" s="59" t="n">
        <f aca="false">'2.5 External walls'!U55</f>
        <v>19500</v>
      </c>
      <c r="S14" s="55"/>
      <c r="T14" s="59" t="n">
        <f aca="false">SUM(U14)/$C14</f>
        <v>0</v>
      </c>
      <c r="U14" s="59" t="n">
        <f aca="false">'2.5 External walls'!Z55</f>
        <v>0</v>
      </c>
      <c r="V14" s="55"/>
      <c r="W14" s="59" t="n">
        <f aca="false">SUM(X14)/$C14</f>
        <v>0</v>
      </c>
      <c r="X14" s="59" t="n">
        <f aca="false">'2.5 External walls'!AE55</f>
        <v>0</v>
      </c>
      <c r="Y14" s="55"/>
      <c r="Z14" s="59" t="n">
        <f aca="false">SUM(AA14)/$C14</f>
        <v>0</v>
      </c>
      <c r="AA14" s="59" t="n">
        <f aca="false">'2.5 External walls'!AJ55</f>
        <v>0</v>
      </c>
      <c r="AB14" s="55"/>
      <c r="AC14" s="59" t="n">
        <f aca="false">SUM(AD14)/$C14</f>
        <v>0</v>
      </c>
      <c r="AD14" s="59" t="n">
        <f aca="false">'2.5 External walls'!AO55</f>
        <v>0</v>
      </c>
      <c r="AE14" s="55"/>
      <c r="AF14" s="59" t="n">
        <f aca="false">SUM(AG14)/$C14</f>
        <v>0</v>
      </c>
      <c r="AG14" s="59"/>
      <c r="AH14" s="55"/>
      <c r="AI14" s="59" t="n">
        <f aca="false">SUM(AJ14)/$C14</f>
        <v>0</v>
      </c>
      <c r="AJ14" s="59"/>
    </row>
    <row r="15" customFormat="false" ht="12.75" hidden="false" customHeight="true" outlineLevel="0" collapsed="false">
      <c r="A15" s="183" t="n">
        <v>2.6</v>
      </c>
      <c r="B15" s="36" t="s">
        <v>184</v>
      </c>
      <c r="C15" s="10" t="n">
        <f aca="false">'Project Information - 3'!$C$11</f>
        <v>203</v>
      </c>
      <c r="D15" s="6" t="s">
        <v>116</v>
      </c>
      <c r="E15" s="59" t="n">
        <f aca="false">SUM(F15)/$C15</f>
        <v>87.6847290640394</v>
      </c>
      <c r="F15" s="59" t="n">
        <f aca="false">'2.6 Windows &amp; external Doors'!F54</f>
        <v>17800</v>
      </c>
      <c r="G15" s="56"/>
      <c r="H15" s="59" t="n">
        <f aca="false">SUM(I15)/$C15</f>
        <v>87.6847290640394</v>
      </c>
      <c r="I15" s="59" t="n">
        <f aca="false">AVERAGE(L15,O15,R15)</f>
        <v>17800</v>
      </c>
      <c r="J15" s="55"/>
      <c r="K15" s="59" t="n">
        <f aca="false">SUM(L15)/$C15</f>
        <v>87.6847290640394</v>
      </c>
      <c r="L15" s="59" t="n">
        <f aca="false">'2.6 Windows &amp; external Doors'!K54</f>
        <v>17800</v>
      </c>
      <c r="M15" s="55"/>
      <c r="N15" s="59" t="n">
        <f aca="false">SUM(O15)/$C15</f>
        <v>87.6847290640394</v>
      </c>
      <c r="O15" s="59" t="n">
        <f aca="false">'2.6 Windows &amp; external Doors'!P54</f>
        <v>17800</v>
      </c>
      <c r="P15" s="55"/>
      <c r="Q15" s="59" t="n">
        <f aca="false">SUM(R15)/$C15</f>
        <v>87.6847290640394</v>
      </c>
      <c r="R15" s="59" t="n">
        <f aca="false">'2.6 Windows &amp; external Doors'!U54</f>
        <v>17800</v>
      </c>
      <c r="S15" s="55"/>
      <c r="T15" s="59" t="n">
        <f aca="false">SUM(U15)/$C15</f>
        <v>0</v>
      </c>
      <c r="U15" s="59" t="n">
        <f aca="false">'2.6 Windows &amp; external Doors'!Z54</f>
        <v>0</v>
      </c>
      <c r="V15" s="55"/>
      <c r="W15" s="59" t="n">
        <f aca="false">SUM(X15)/$C15</f>
        <v>0</v>
      </c>
      <c r="X15" s="59" t="n">
        <f aca="false">'2.6 Windows &amp; external Doors'!AE54</f>
        <v>0</v>
      </c>
      <c r="Y15" s="55"/>
      <c r="Z15" s="59" t="n">
        <f aca="false">SUM(AA15)/$C15</f>
        <v>0</v>
      </c>
      <c r="AA15" s="59" t="n">
        <f aca="false">'2.6 Windows &amp; external Doors'!AJ54</f>
        <v>0</v>
      </c>
      <c r="AB15" s="55"/>
      <c r="AC15" s="59" t="n">
        <f aca="false">SUM(AD15)/$C15</f>
        <v>0</v>
      </c>
      <c r="AD15" s="59" t="n">
        <f aca="false">'2.6 Windows &amp; external Doors'!AO54</f>
        <v>0</v>
      </c>
      <c r="AE15" s="55"/>
      <c r="AF15" s="59" t="n">
        <f aca="false">SUM(AG15)/$C15</f>
        <v>0</v>
      </c>
      <c r="AG15" s="59"/>
      <c r="AH15" s="55"/>
      <c r="AI15" s="59" t="n">
        <f aca="false">SUM(AJ15)/$C15</f>
        <v>0</v>
      </c>
      <c r="AJ15" s="59"/>
    </row>
    <row r="16" customFormat="false" ht="12.75" hidden="false" customHeight="true" outlineLevel="0" collapsed="false">
      <c r="A16" s="183" t="n">
        <v>2.7</v>
      </c>
      <c r="B16" s="36" t="s">
        <v>140</v>
      </c>
      <c r="C16" s="10" t="n">
        <f aca="false">'Project Information - 3'!$C$13</f>
        <v>77</v>
      </c>
      <c r="D16" s="6" t="s">
        <v>116</v>
      </c>
      <c r="E16" s="59" t="n">
        <f aca="false">SUM(F16)/$C16</f>
        <v>236.363636363636</v>
      </c>
      <c r="F16" s="59" t="n">
        <f aca="false">'2.7 Internal Walls &amp; Partitions'!F54</f>
        <v>18200</v>
      </c>
      <c r="G16" s="56"/>
      <c r="H16" s="59" t="n">
        <f aca="false">SUM(I16)/$C16</f>
        <v>236.363636363636</v>
      </c>
      <c r="I16" s="59" t="n">
        <f aca="false">AVERAGE(L16,O16,R16)</f>
        <v>18200</v>
      </c>
      <c r="J16" s="55"/>
      <c r="K16" s="59" t="n">
        <f aca="false">SUM(L16)/$C16</f>
        <v>236.363636363636</v>
      </c>
      <c r="L16" s="59" t="n">
        <f aca="false">'2.7 Internal Walls &amp; Partitions'!K54</f>
        <v>18200</v>
      </c>
      <c r="M16" s="55"/>
      <c r="N16" s="59" t="n">
        <f aca="false">SUM(O16)/$C16</f>
        <v>236.363636363636</v>
      </c>
      <c r="O16" s="59" t="n">
        <f aca="false">'2.7 Internal Walls &amp; Partitions'!P54</f>
        <v>18200</v>
      </c>
      <c r="P16" s="55"/>
      <c r="Q16" s="59" t="n">
        <f aca="false">SUM(R16)/$C16</f>
        <v>236.363636363636</v>
      </c>
      <c r="R16" s="59" t="n">
        <f aca="false">'2.7 Internal Walls &amp; Partitions'!U54</f>
        <v>18200</v>
      </c>
      <c r="S16" s="55"/>
      <c r="T16" s="59" t="n">
        <f aca="false">SUM(U16)/$C16</f>
        <v>0</v>
      </c>
      <c r="U16" s="59" t="n">
        <f aca="false">'2.7 Internal Walls &amp; Partitions'!Z54</f>
        <v>0</v>
      </c>
      <c r="V16" s="55"/>
      <c r="W16" s="59" t="n">
        <f aca="false">SUM(X16)/$C16</f>
        <v>0</v>
      </c>
      <c r="X16" s="59" t="n">
        <f aca="false">'2.7 Internal Walls &amp; Partitions'!AE54</f>
        <v>0</v>
      </c>
      <c r="Y16" s="55"/>
      <c r="Z16" s="59" t="n">
        <f aca="false">SUM(AA16)/$C16</f>
        <v>0</v>
      </c>
      <c r="AA16" s="59" t="n">
        <f aca="false">'2.7 Internal Walls &amp; Partitions'!AJ54</f>
        <v>0</v>
      </c>
      <c r="AB16" s="55"/>
      <c r="AC16" s="59" t="n">
        <f aca="false">SUM(AD16)/$C16</f>
        <v>0</v>
      </c>
      <c r="AD16" s="59" t="n">
        <f aca="false">'2.7 Internal Walls &amp; Partitions'!AO54</f>
        <v>0</v>
      </c>
      <c r="AE16" s="55"/>
      <c r="AF16" s="59" t="n">
        <f aca="false">SUM(AG16)/$C16</f>
        <v>0</v>
      </c>
      <c r="AG16" s="59"/>
      <c r="AH16" s="55"/>
      <c r="AI16" s="59" t="n">
        <f aca="false">SUM(AJ16)/$C16</f>
        <v>0</v>
      </c>
      <c r="AJ16" s="59"/>
    </row>
    <row r="17" customFormat="false" ht="12.75" hidden="false" customHeight="true" outlineLevel="0" collapsed="false">
      <c r="A17" s="183" t="n">
        <v>2.8</v>
      </c>
      <c r="B17" s="36" t="s">
        <v>141</v>
      </c>
      <c r="C17" s="10" t="n">
        <f aca="false">'Project Information - 3'!$C$14</f>
        <v>3183</v>
      </c>
      <c r="D17" s="6" t="s">
        <v>116</v>
      </c>
      <c r="E17" s="59" t="n">
        <f aca="false">SUM(F17)/$C17</f>
        <v>29.4266415331448</v>
      </c>
      <c r="F17" s="59" t="n">
        <f aca="false">'2.8 Internal Doors'!F54</f>
        <v>93665</v>
      </c>
      <c r="G17" s="56"/>
      <c r="H17" s="59" t="n">
        <f aca="false">SUM(I17)/$C17</f>
        <v>29.4266415331448</v>
      </c>
      <c r="I17" s="59" t="n">
        <f aca="false">AVERAGE(L17,O17,R17)</f>
        <v>93665</v>
      </c>
      <c r="J17" s="55"/>
      <c r="K17" s="59" t="n">
        <f aca="false">SUM(L17)/$C17</f>
        <v>29.4266415331448</v>
      </c>
      <c r="L17" s="59" t="n">
        <f aca="false">'2.8 Internal Doors'!K54</f>
        <v>93665</v>
      </c>
      <c r="M17" s="55"/>
      <c r="N17" s="59" t="n">
        <f aca="false">SUM(O17)/$C17</f>
        <v>29.4266415331448</v>
      </c>
      <c r="O17" s="59" t="n">
        <f aca="false">'2.8 Internal Doors'!P54</f>
        <v>93665</v>
      </c>
      <c r="P17" s="55"/>
      <c r="Q17" s="59" t="n">
        <f aca="false">SUM(R17)/$C17</f>
        <v>29.4266415331448</v>
      </c>
      <c r="R17" s="59" t="n">
        <f aca="false">'2.8 Internal Doors'!U54</f>
        <v>93665</v>
      </c>
      <c r="S17" s="55"/>
      <c r="T17" s="59" t="n">
        <f aca="false">SUM(U17)/$C17</f>
        <v>0</v>
      </c>
      <c r="U17" s="59" t="n">
        <f aca="false">'2.8 Internal Doors'!Z54</f>
        <v>0</v>
      </c>
      <c r="V17" s="55"/>
      <c r="W17" s="59" t="n">
        <f aca="false">SUM(X17)/$C17</f>
        <v>0</v>
      </c>
      <c r="X17" s="59" t="n">
        <f aca="false">'2.8 Internal Doors'!AE54</f>
        <v>0</v>
      </c>
      <c r="Y17" s="55"/>
      <c r="Z17" s="59" t="n">
        <f aca="false">SUM(AA17)/$C17</f>
        <v>0</v>
      </c>
      <c r="AA17" s="59" t="n">
        <f aca="false">'2.8 Internal Doors'!AJ54</f>
        <v>0</v>
      </c>
      <c r="AB17" s="55"/>
      <c r="AC17" s="59" t="n">
        <f aca="false">SUM(AD17)/$C17</f>
        <v>0</v>
      </c>
      <c r="AD17" s="59" t="n">
        <f aca="false">'2.8 Internal Doors'!AO54</f>
        <v>0</v>
      </c>
      <c r="AE17" s="55"/>
      <c r="AF17" s="59" t="n">
        <f aca="false">SUM(AG17)/$C17</f>
        <v>0</v>
      </c>
      <c r="AG17" s="59"/>
      <c r="AH17" s="55"/>
      <c r="AI17" s="59" t="n">
        <f aca="false">SUM(AJ17)/$C17</f>
        <v>0</v>
      </c>
      <c r="AJ17" s="59"/>
    </row>
    <row r="18" customFormat="false" ht="12.75" hidden="false" customHeight="true" outlineLevel="0" collapsed="false">
      <c r="A18" s="35" t="n">
        <v>3</v>
      </c>
      <c r="B18" s="52" t="s">
        <v>185</v>
      </c>
      <c r="C18" s="60"/>
      <c r="D18" s="60"/>
      <c r="E18" s="55"/>
      <c r="F18" s="55" t="n">
        <f aca="false">SUM(F19:F21)</f>
        <v>670405</v>
      </c>
      <c r="G18" s="56"/>
      <c r="H18" s="55"/>
      <c r="I18" s="55" t="n">
        <f aca="false">SUM(I19:I21)</f>
        <v>713096.666666667</v>
      </c>
      <c r="J18" s="55"/>
      <c r="K18" s="55"/>
      <c r="L18" s="55" t="n">
        <f aca="false">SUM(L19:L21)</f>
        <v>641355</v>
      </c>
      <c r="M18" s="55"/>
      <c r="N18" s="55"/>
      <c r="O18" s="55" t="n">
        <f aca="false">SUM(O19:O21)</f>
        <v>770680</v>
      </c>
      <c r="P18" s="55"/>
      <c r="Q18" s="55"/>
      <c r="R18" s="55" t="n">
        <f aca="false">SUM(R19:R21)</f>
        <v>727255</v>
      </c>
      <c r="S18" s="55"/>
      <c r="T18" s="55"/>
      <c r="U18" s="55" t="n">
        <f aca="false">SUM(U19:U20)</f>
        <v>0</v>
      </c>
      <c r="V18" s="55"/>
      <c r="W18" s="55"/>
      <c r="X18" s="55" t="n">
        <f aca="false">SUM(X19:X20)</f>
        <v>0</v>
      </c>
      <c r="Y18" s="55"/>
      <c r="Z18" s="55"/>
      <c r="AA18" s="55" t="n">
        <f aca="false">SUM(AA19:AA20)</f>
        <v>0</v>
      </c>
      <c r="AB18" s="55"/>
      <c r="AC18" s="55"/>
      <c r="AD18" s="55" t="n">
        <f aca="false">SUM(AD19:AD20)</f>
        <v>0</v>
      </c>
      <c r="AE18" s="55"/>
      <c r="AF18" s="55"/>
      <c r="AG18" s="55" t="n">
        <f aca="false">SUM(AG19:AG20)</f>
        <v>0</v>
      </c>
      <c r="AH18" s="55"/>
      <c r="AI18" s="55"/>
      <c r="AJ18" s="55" t="n">
        <f aca="false">SUM(AJ19:AJ20)</f>
        <v>0</v>
      </c>
    </row>
    <row r="19" customFormat="false" ht="12.75" hidden="false" customHeight="true" outlineLevel="0" collapsed="false">
      <c r="A19" s="183" t="n">
        <v>3.1</v>
      </c>
      <c r="B19" s="36" t="s">
        <v>143</v>
      </c>
      <c r="C19" s="62" t="n">
        <f aca="false">'Project Information - 3'!$C$14</f>
        <v>3183</v>
      </c>
      <c r="D19" s="6" t="s">
        <v>116</v>
      </c>
      <c r="E19" s="59" t="n">
        <f aca="false">SUM(F19)/$C19</f>
        <v>51.4608859566447</v>
      </c>
      <c r="F19" s="59" t="n">
        <f aca="false">'3.1 Wall Finishes'!F54</f>
        <v>163800</v>
      </c>
      <c r="G19" s="56"/>
      <c r="H19" s="59" t="n">
        <f aca="false">SUM(I19)/$C19</f>
        <v>51.4608859566447</v>
      </c>
      <c r="I19" s="59" t="n">
        <f aca="false">AVERAGE(L19,O19,R19)</f>
        <v>163800</v>
      </c>
      <c r="J19" s="55"/>
      <c r="K19" s="59" t="n">
        <f aca="false">SUM(L19)/$C19</f>
        <v>51.4608859566447</v>
      </c>
      <c r="L19" s="59" t="n">
        <f aca="false">'3.1 Wall Finishes'!K54</f>
        <v>163800</v>
      </c>
      <c r="M19" s="55"/>
      <c r="N19" s="59" t="n">
        <f aca="false">SUM(O19)/$C19</f>
        <v>51.4608859566447</v>
      </c>
      <c r="O19" s="59" t="n">
        <f aca="false">'3.1 Wall Finishes'!P54</f>
        <v>163800</v>
      </c>
      <c r="P19" s="59"/>
      <c r="Q19" s="59" t="n">
        <f aca="false">SUM(R19)/$C19</f>
        <v>51.4608859566447</v>
      </c>
      <c r="R19" s="59" t="n">
        <f aca="false">'3.1 Wall Finishes'!U54</f>
        <v>163800</v>
      </c>
      <c r="S19" s="59"/>
      <c r="T19" s="59" t="n">
        <f aca="false">SUM(U19)/$C19</f>
        <v>0</v>
      </c>
      <c r="U19" s="59" t="n">
        <f aca="false">'3.1 Wall Finishes'!Z54</f>
        <v>0</v>
      </c>
      <c r="V19" s="59"/>
      <c r="W19" s="59" t="n">
        <f aca="false">SUM(X19)/$C19</f>
        <v>0</v>
      </c>
      <c r="X19" s="59" t="n">
        <f aca="false">'3.1 Wall Finishes'!AE54</f>
        <v>0</v>
      </c>
      <c r="Y19" s="59"/>
      <c r="Z19" s="59" t="n">
        <f aca="false">SUM(AA19)/$C19</f>
        <v>0</v>
      </c>
      <c r="AA19" s="59" t="n">
        <f aca="false">'3.1 Wall Finishes'!AJ54</f>
        <v>0</v>
      </c>
      <c r="AB19" s="59"/>
      <c r="AC19" s="59" t="n">
        <f aca="false">SUM(AD19)/$C19</f>
        <v>0</v>
      </c>
      <c r="AD19" s="59" t="n">
        <f aca="false">'3.1 Wall Finishes'!AO54</f>
        <v>0</v>
      </c>
      <c r="AE19" s="55"/>
      <c r="AF19" s="59" t="n">
        <f aca="false">SUM(AG19)/$C19</f>
        <v>0</v>
      </c>
      <c r="AG19" s="59"/>
      <c r="AH19" s="55"/>
      <c r="AI19" s="59"/>
      <c r="AJ19" s="59"/>
      <c r="AL19" s="61" t="e">
        <f aca="false">$I19*(1-#REF!)</f>
        <v>#REF!</v>
      </c>
      <c r="AM19" s="61" t="e">
        <f aca="false">$I19*(1+#REF!)</f>
        <v>#REF!</v>
      </c>
      <c r="AN19" s="61" t="e">
        <f aca="false">$I19*(1-#REF!)</f>
        <v>#REF!</v>
      </c>
      <c r="AO19" s="61" t="e">
        <f aca="false">$I19*(1+#REF!)</f>
        <v>#REF!</v>
      </c>
    </row>
    <row r="20" customFormat="false" ht="12.75" hidden="false" customHeight="true" outlineLevel="0" collapsed="false">
      <c r="A20" s="183" t="n">
        <v>3.2</v>
      </c>
      <c r="B20" s="36" t="s">
        <v>144</v>
      </c>
      <c r="C20" s="62" t="n">
        <f aca="false">'Project Information - 3'!$C$15</f>
        <v>907</v>
      </c>
      <c r="D20" s="6" t="s">
        <v>116</v>
      </c>
      <c r="E20" s="59" t="n">
        <f aca="false">SUM(F20)/$C20</f>
        <v>89.2557883131202</v>
      </c>
      <c r="F20" s="59" t="n">
        <f aca="false">'3.2 Floor Finishes'!F54</f>
        <v>80955</v>
      </c>
      <c r="G20" s="56"/>
      <c r="H20" s="59" t="n">
        <f aca="false">SUM(I20)/$C20</f>
        <v>89.2374127159133</v>
      </c>
      <c r="I20" s="59" t="n">
        <f aca="false">AVERAGE(L20,O20,R20)</f>
        <v>80938.3333333333</v>
      </c>
      <c r="J20" s="55"/>
      <c r="K20" s="59" t="n">
        <f aca="false">SUM(L20)/$C20</f>
        <v>89.8070562293275</v>
      </c>
      <c r="L20" s="59" t="n">
        <f aca="false">'3.2 Floor Finishes'!K54</f>
        <v>81455</v>
      </c>
      <c r="M20" s="55"/>
      <c r="N20" s="59" t="n">
        <f aca="false">SUM(O20)/$C20</f>
        <v>88.8147739801544</v>
      </c>
      <c r="O20" s="59" t="n">
        <f aca="false">'3.2 Floor Finishes'!P54</f>
        <v>80555</v>
      </c>
      <c r="P20" s="59"/>
      <c r="Q20" s="59" t="n">
        <f aca="false">SUM(R20)/$C20</f>
        <v>89.090407938258</v>
      </c>
      <c r="R20" s="59" t="n">
        <f aca="false">'3.2 Floor Finishes'!U54</f>
        <v>80805</v>
      </c>
      <c r="S20" s="59"/>
      <c r="T20" s="59" t="n">
        <f aca="false">SUM(U20)/$C20</f>
        <v>0</v>
      </c>
      <c r="U20" s="59" t="n">
        <f aca="false">'3.2 Floor Finishes'!Z54</f>
        <v>0</v>
      </c>
      <c r="V20" s="59"/>
      <c r="W20" s="59" t="n">
        <f aca="false">SUM(X20)/$C20</f>
        <v>0</v>
      </c>
      <c r="X20" s="59" t="n">
        <f aca="false">'3.2 Floor Finishes'!AE54</f>
        <v>0</v>
      </c>
      <c r="Y20" s="59"/>
      <c r="Z20" s="59" t="n">
        <f aca="false">SUM(AA20)/$C20</f>
        <v>0</v>
      </c>
      <c r="AA20" s="59" t="n">
        <f aca="false">'3.2 Floor Finishes'!AJ54</f>
        <v>0</v>
      </c>
      <c r="AB20" s="59"/>
      <c r="AC20" s="59" t="n">
        <f aca="false">SUM(AD20)/$C20</f>
        <v>0</v>
      </c>
      <c r="AD20" s="59" t="n">
        <f aca="false">'3.2 Floor Finishes'!AO54</f>
        <v>0</v>
      </c>
      <c r="AE20" s="55"/>
      <c r="AF20" s="59" t="n">
        <f aca="false">SUM(AG20)/$C20</f>
        <v>0</v>
      </c>
      <c r="AG20" s="59"/>
      <c r="AH20" s="55"/>
      <c r="AI20" s="59"/>
      <c r="AJ20" s="59"/>
      <c r="AL20" s="61" t="e">
        <f aca="false">$I20*(1-#REF!)</f>
        <v>#REF!</v>
      </c>
      <c r="AM20" s="61" t="e">
        <f aca="false">$I20*(1+#REF!)</f>
        <v>#REF!</v>
      </c>
      <c r="AN20" s="61" t="e">
        <f aca="false">$I20*(1-#REF!)</f>
        <v>#REF!</v>
      </c>
      <c r="AO20" s="61" t="e">
        <f aca="false">$I20*(1+#REF!)</f>
        <v>#REF!</v>
      </c>
    </row>
    <row r="21" customFormat="false" ht="12.75" hidden="false" customHeight="true" outlineLevel="0" collapsed="false">
      <c r="A21" s="183" t="n">
        <v>3.3</v>
      </c>
      <c r="B21" s="36" t="s">
        <v>145</v>
      </c>
      <c r="C21" s="62" t="n">
        <f aca="false">'Project Information - 3'!$C$16</f>
        <v>881</v>
      </c>
      <c r="D21" s="6" t="s">
        <v>116</v>
      </c>
      <c r="E21" s="59" t="n">
        <f aca="false">SUM(F21)/$C21</f>
        <v>483.144154370034</v>
      </c>
      <c r="F21" s="59" t="n">
        <f aca="false">'3.3 Ceiling finishes'!F54</f>
        <v>425650</v>
      </c>
      <c r="G21" s="56"/>
      <c r="H21" s="59" t="n">
        <f aca="false">SUM(I21)/$C21</f>
        <v>531.621263715475</v>
      </c>
      <c r="I21" s="59" t="n">
        <f aca="false">AVERAGE(L21,O21,R21)</f>
        <v>468358.333333333</v>
      </c>
      <c r="J21" s="55"/>
      <c r="K21" s="59" t="n">
        <f aca="false">SUM(L21)/$C21</f>
        <v>449.602724177072</v>
      </c>
      <c r="L21" s="59" t="n">
        <f aca="false">'3.3 Ceiling finishes'!K54</f>
        <v>396100</v>
      </c>
      <c r="M21" s="55"/>
      <c r="N21" s="59" t="n">
        <f aca="false">SUM(O21)/$C21</f>
        <v>597.417707150965</v>
      </c>
      <c r="O21" s="59" t="n">
        <f aca="false">'3.3 Ceiling finishes'!P54</f>
        <v>526325</v>
      </c>
      <c r="P21" s="55"/>
      <c r="Q21" s="59" t="n">
        <f aca="false">SUM(R21)/$C21</f>
        <v>547.843359818388</v>
      </c>
      <c r="R21" s="59" t="n">
        <f aca="false">'3.3 Ceiling finishes'!U54</f>
        <v>482650</v>
      </c>
      <c r="S21" s="55"/>
      <c r="T21" s="59" t="n">
        <f aca="false">SUM(U21)/$C21</f>
        <v>0</v>
      </c>
      <c r="U21" s="59" t="n">
        <f aca="false">'3.3 Ceiling finishes'!Z54</f>
        <v>0</v>
      </c>
      <c r="V21" s="55"/>
      <c r="W21" s="59" t="n">
        <f aca="false">SUM(X21)/$C21</f>
        <v>0</v>
      </c>
      <c r="X21" s="59" t="n">
        <f aca="false">'3.3 Ceiling finishes'!AE54</f>
        <v>0</v>
      </c>
      <c r="Y21" s="55"/>
      <c r="Z21" s="59" t="n">
        <f aca="false">SUM(AA21)/$C21</f>
        <v>0</v>
      </c>
      <c r="AA21" s="59" t="n">
        <f aca="false">'3.3 Ceiling finishes'!AJ54</f>
        <v>0</v>
      </c>
      <c r="AB21" s="55"/>
      <c r="AC21" s="59" t="n">
        <f aca="false">SUM(AD21)/$C21</f>
        <v>0</v>
      </c>
      <c r="AD21" s="59" t="n">
        <f aca="false">'3.3 Ceiling finishes'!AO54</f>
        <v>0</v>
      </c>
      <c r="AE21" s="55"/>
      <c r="AF21" s="59" t="n">
        <f aca="false">SUM(AG21)/$C21</f>
        <v>0</v>
      </c>
      <c r="AG21" s="59"/>
      <c r="AH21" s="55"/>
      <c r="AI21" s="59"/>
      <c r="AJ21" s="59"/>
    </row>
    <row r="22" customFormat="false" ht="12.75" hidden="false" customHeight="true" outlineLevel="0" collapsed="false">
      <c r="A22" s="35" t="n">
        <v>4</v>
      </c>
      <c r="B22" s="52" t="s">
        <v>186</v>
      </c>
      <c r="C22" s="60"/>
      <c r="D22" s="60"/>
      <c r="E22" s="55"/>
      <c r="F22" s="55" t="n">
        <f aca="false">SUM(F23)</f>
        <v>67365</v>
      </c>
      <c r="G22" s="56"/>
      <c r="H22" s="55"/>
      <c r="I22" s="55" t="n">
        <f aca="false">SUM(I23)</f>
        <v>67365</v>
      </c>
      <c r="J22" s="55"/>
      <c r="K22" s="55"/>
      <c r="L22" s="55" t="n">
        <f aca="false">SUM(L23)</f>
        <v>67365</v>
      </c>
      <c r="M22" s="55"/>
      <c r="N22" s="55"/>
      <c r="O22" s="55" t="n">
        <f aca="false">SUM(O23)</f>
        <v>67365</v>
      </c>
      <c r="P22" s="55"/>
      <c r="Q22" s="55"/>
      <c r="R22" s="55" t="n">
        <f aca="false">SUM(R23)</f>
        <v>67365</v>
      </c>
      <c r="S22" s="55"/>
      <c r="T22" s="55"/>
      <c r="U22" s="55" t="n">
        <f aca="false">SUM(U23)</f>
        <v>0</v>
      </c>
      <c r="V22" s="55"/>
      <c r="W22" s="55"/>
      <c r="X22" s="55" t="n">
        <f aca="false">SUM(X23)</f>
        <v>0</v>
      </c>
      <c r="Y22" s="55"/>
      <c r="Z22" s="55"/>
      <c r="AA22" s="55" t="n">
        <f aca="false">SUM(AA23)</f>
        <v>0</v>
      </c>
      <c r="AB22" s="55"/>
      <c r="AC22" s="55"/>
      <c r="AD22" s="55" t="n">
        <f aca="false">SUM(AD23)</f>
        <v>0</v>
      </c>
      <c r="AE22" s="55"/>
      <c r="AF22" s="55"/>
      <c r="AG22" s="55" t="n">
        <f aca="false">SUM(AG23)</f>
        <v>0</v>
      </c>
      <c r="AH22" s="55"/>
      <c r="AI22" s="55"/>
      <c r="AJ22" s="55" t="n">
        <f aca="false">SUM(AJ23)</f>
        <v>0</v>
      </c>
    </row>
    <row r="23" customFormat="false" ht="12.75" hidden="false" customHeight="true" outlineLevel="0" collapsed="false">
      <c r="A23" s="183" t="n">
        <v>4.1</v>
      </c>
      <c r="B23" s="36" t="s">
        <v>187</v>
      </c>
      <c r="C23" s="62" t="n">
        <f aca="false">'Project Information - 3'!$C$17</f>
        <v>1</v>
      </c>
      <c r="D23" s="6" t="s">
        <v>116</v>
      </c>
      <c r="E23" s="59" t="n">
        <f aca="false">SUM(F23)/$C23</f>
        <v>67365</v>
      </c>
      <c r="F23" s="59" t="n">
        <f aca="false">'4.1 FF&amp;E'!F54</f>
        <v>67365</v>
      </c>
      <c r="G23" s="56"/>
      <c r="H23" s="59" t="n">
        <f aca="false">SUM(I23)/$C23</f>
        <v>67365</v>
      </c>
      <c r="I23" s="59" t="n">
        <f aca="false">AVERAGE(L23,O23,R23)</f>
        <v>67365</v>
      </c>
      <c r="J23" s="55"/>
      <c r="K23" s="59" t="n">
        <f aca="false">SUM(L23)/$C23</f>
        <v>67365</v>
      </c>
      <c r="L23" s="59" t="n">
        <f aca="false">'4.1 FF&amp;E'!K54</f>
        <v>67365</v>
      </c>
      <c r="M23" s="55"/>
      <c r="N23" s="59" t="n">
        <f aca="false">SUM(O23)/$C23</f>
        <v>67365</v>
      </c>
      <c r="O23" s="59" t="n">
        <f aca="false">'4.1 FF&amp;E'!P54</f>
        <v>67365</v>
      </c>
      <c r="P23" s="55"/>
      <c r="Q23" s="59" t="n">
        <f aca="false">SUM(R23)/$C23</f>
        <v>67365</v>
      </c>
      <c r="R23" s="59" t="n">
        <f aca="false">'4.1 FF&amp;E'!U54</f>
        <v>67365</v>
      </c>
      <c r="S23" s="55"/>
      <c r="T23" s="59" t="n">
        <f aca="false">SUM(U23)/$C23</f>
        <v>0</v>
      </c>
      <c r="U23" s="59" t="n">
        <f aca="false">'4.1 FF&amp;E'!Z54</f>
        <v>0</v>
      </c>
      <c r="V23" s="55"/>
      <c r="W23" s="59" t="n">
        <f aca="false">SUM(X23)/$C23</f>
        <v>0</v>
      </c>
      <c r="X23" s="59" t="n">
        <f aca="false">'4.1 FF&amp;E'!AE54</f>
        <v>0</v>
      </c>
      <c r="Y23" s="55"/>
      <c r="Z23" s="59" t="n">
        <f aca="false">SUM(AA23)/$C23</f>
        <v>0</v>
      </c>
      <c r="AA23" s="59" t="n">
        <f aca="false">'4.1 FF&amp;E'!AJ54</f>
        <v>0</v>
      </c>
      <c r="AB23" s="55"/>
      <c r="AC23" s="59" t="n">
        <f aca="false">SUM(AD23)/$C23</f>
        <v>0</v>
      </c>
      <c r="AD23" s="59" t="n">
        <f aca="false">'4.1 FF&amp;E'!AO54</f>
        <v>0</v>
      </c>
      <c r="AE23" s="55"/>
      <c r="AF23" s="59" t="n">
        <f aca="false">'4.1 FF&amp;E'!AR54</f>
        <v>0</v>
      </c>
      <c r="AG23" s="59"/>
      <c r="AH23" s="55"/>
      <c r="AI23" s="59"/>
      <c r="AJ23" s="59"/>
    </row>
    <row r="24" customFormat="false" ht="12.75" hidden="false" customHeight="true" outlineLevel="0" collapsed="false">
      <c r="A24" s="35" t="n">
        <v>5</v>
      </c>
      <c r="B24" s="52" t="s">
        <v>188</v>
      </c>
      <c r="C24" s="30"/>
      <c r="D24" s="30"/>
      <c r="E24" s="55"/>
      <c r="F24" s="55" t="n">
        <f aca="false">SUBTOTAL(9,F25:F27)</f>
        <v>108430</v>
      </c>
      <c r="G24" s="56"/>
      <c r="H24" s="55"/>
      <c r="I24" s="55" t="n">
        <f aca="false">SUBTOTAL(9,I25:I27)</f>
        <v>108430</v>
      </c>
      <c r="J24" s="55"/>
      <c r="K24" s="55"/>
      <c r="L24" s="55" t="n">
        <f aca="false">SUBTOTAL(9,L25:L27)</f>
        <v>108430</v>
      </c>
      <c r="M24" s="55"/>
      <c r="N24" s="55"/>
      <c r="O24" s="55" t="n">
        <f aca="false">SUBTOTAL(9,O25:O27)</f>
        <v>108430</v>
      </c>
      <c r="P24" s="55"/>
      <c r="Q24" s="55"/>
      <c r="R24" s="55" t="n">
        <v>491679</v>
      </c>
      <c r="S24" s="55" t="e">
        <f aca="false">T24/'Project Information - 1'!$G$3</f>
        <v>#DIV/0!</v>
      </c>
      <c r="T24" s="55"/>
      <c r="U24" s="55" t="n">
        <v>491679</v>
      </c>
      <c r="V24" s="55"/>
      <c r="W24" s="55"/>
      <c r="X24" s="55" t="n">
        <v>491679</v>
      </c>
      <c r="Y24" s="55"/>
      <c r="Z24" s="55"/>
      <c r="AA24" s="55" t="n">
        <v>491679</v>
      </c>
      <c r="AB24" s="55"/>
      <c r="AC24" s="55"/>
      <c r="AD24" s="55" t="n">
        <v>491679</v>
      </c>
      <c r="AE24" s="55"/>
      <c r="AF24" s="55"/>
      <c r="AG24" s="55" t="n">
        <f aca="false">SUBTOTAL(9,AG25:AG27)</f>
        <v>0</v>
      </c>
      <c r="AH24" s="55"/>
      <c r="AI24" s="55"/>
      <c r="AJ24" s="55" t="n">
        <f aca="false">SUBTOTAL(9,AJ25:AJ27)</f>
        <v>0</v>
      </c>
    </row>
    <row r="25" customFormat="false" ht="12.75" hidden="false" customHeight="true" outlineLevel="0" collapsed="false">
      <c r="A25" s="183" t="n">
        <v>5.1</v>
      </c>
      <c r="B25" s="36" t="s">
        <v>147</v>
      </c>
      <c r="C25" s="62" t="n">
        <f aca="false">'Project Information - 3'!$C$18</f>
        <v>1</v>
      </c>
      <c r="D25" s="6" t="s">
        <v>116</v>
      </c>
      <c r="E25" s="59" t="n">
        <f aca="false">SUM(F25)/$C25</f>
        <v>69230</v>
      </c>
      <c r="F25" s="59" t="n">
        <f aca="false">'5.1 Sanitary installations'!F54</f>
        <v>69230</v>
      </c>
      <c r="G25" s="56"/>
      <c r="H25" s="59" t="n">
        <f aca="false">SUM(I25)/$C25</f>
        <v>69230</v>
      </c>
      <c r="I25" s="59" t="n">
        <f aca="false">AVERAGE(L25,O25,R25)</f>
        <v>69230</v>
      </c>
      <c r="J25" s="55"/>
      <c r="K25" s="59" t="n">
        <f aca="false">SUM(L25)/$C25</f>
        <v>69230</v>
      </c>
      <c r="L25" s="59" t="n">
        <f aca="false">'5.1 Sanitary installations'!K54</f>
        <v>69230</v>
      </c>
      <c r="M25" s="55"/>
      <c r="N25" s="59" t="n">
        <f aca="false">SUM(O25)/$C25</f>
        <v>69230</v>
      </c>
      <c r="O25" s="59" t="n">
        <f aca="false">'5.1 Sanitary installations'!P54</f>
        <v>69230</v>
      </c>
      <c r="P25" s="55"/>
      <c r="Q25" s="59" t="n">
        <f aca="false">SUM(R25)/$C25</f>
        <v>69230</v>
      </c>
      <c r="R25" s="59" t="n">
        <f aca="false">'5.1 Sanitary installations'!U54</f>
        <v>69230</v>
      </c>
      <c r="S25" s="55"/>
      <c r="T25" s="59" t="n">
        <f aca="false">SUM(U25)/$C25</f>
        <v>0</v>
      </c>
      <c r="U25" s="59" t="n">
        <f aca="false">'5.1 Sanitary installations'!Z54</f>
        <v>0</v>
      </c>
      <c r="V25" s="55"/>
      <c r="W25" s="59" t="n">
        <f aca="false">SUM(X25)/$C25</f>
        <v>0</v>
      </c>
      <c r="X25" s="59" t="n">
        <f aca="false">'5.1 Sanitary installations'!AE54</f>
        <v>0</v>
      </c>
      <c r="Y25" s="55"/>
      <c r="Z25" s="59" t="n">
        <f aca="false">SUM(AA25)/$C25</f>
        <v>0</v>
      </c>
      <c r="AA25" s="59" t="n">
        <f aca="false">'5.1 Sanitary installations'!AJ54</f>
        <v>0</v>
      </c>
      <c r="AB25" s="55"/>
      <c r="AC25" s="59" t="n">
        <f aca="false">SUM(AD25)/$C25</f>
        <v>0</v>
      </c>
      <c r="AD25" s="59" t="n">
        <f aca="false">'5.1 Sanitary installations'!AO54</f>
        <v>0</v>
      </c>
      <c r="AE25" s="55"/>
      <c r="AF25" s="59" t="n">
        <f aca="false">SUM(AG25)/$C25</f>
        <v>0</v>
      </c>
      <c r="AG25" s="59"/>
      <c r="AH25" s="55"/>
      <c r="AI25" s="59"/>
      <c r="AJ25" s="59"/>
    </row>
    <row r="26" customFormat="false" ht="12.75" hidden="false" customHeight="true" outlineLevel="0" collapsed="false">
      <c r="A26" s="183" t="n">
        <v>5.2</v>
      </c>
      <c r="B26" s="37" t="s">
        <v>189</v>
      </c>
      <c r="C26" s="62" t="n">
        <f aca="false">'Project Information - 3'!$C$19</f>
        <v>1</v>
      </c>
      <c r="D26" s="6" t="s">
        <v>116</v>
      </c>
      <c r="E26" s="59" t="n">
        <f aca="false">SUM(F26)/$C26</f>
        <v>21600</v>
      </c>
      <c r="F26" s="59" t="n">
        <f aca="false">'5.2 Services equipment'!F54</f>
        <v>21600</v>
      </c>
      <c r="G26" s="56"/>
      <c r="H26" s="59" t="n">
        <f aca="false">SUM(I26)/$C26</f>
        <v>21600</v>
      </c>
      <c r="I26" s="59" t="n">
        <f aca="false">AVERAGE(L26,O26,R26)</f>
        <v>21600</v>
      </c>
      <c r="J26" s="55"/>
      <c r="K26" s="59" t="n">
        <f aca="false">SUM(L26)/$C26</f>
        <v>21600</v>
      </c>
      <c r="L26" s="59" t="n">
        <f aca="false">'5.2 Services equipment'!K54</f>
        <v>21600</v>
      </c>
      <c r="M26" s="55"/>
      <c r="N26" s="59" t="n">
        <f aca="false">SUM(O26)/$C26</f>
        <v>21600</v>
      </c>
      <c r="O26" s="59" t="n">
        <f aca="false">'5.2 Services equipment'!P54</f>
        <v>21600</v>
      </c>
      <c r="P26" s="55"/>
      <c r="Q26" s="59" t="n">
        <f aca="false">SUM(R26)/$C26</f>
        <v>21600</v>
      </c>
      <c r="R26" s="59" t="n">
        <f aca="false">'5.2 Services equipment'!U54</f>
        <v>21600</v>
      </c>
      <c r="S26" s="55"/>
      <c r="T26" s="59" t="n">
        <f aca="false">SUM(U26)/$C26</f>
        <v>0</v>
      </c>
      <c r="U26" s="59" t="n">
        <f aca="false">'5.2 Services equipment'!Z54</f>
        <v>0</v>
      </c>
      <c r="V26" s="55"/>
      <c r="W26" s="59" t="n">
        <f aca="false">SUM(X26)/$C26</f>
        <v>0</v>
      </c>
      <c r="X26" s="59" t="n">
        <f aca="false">'5.2 Services equipment'!AE54</f>
        <v>0</v>
      </c>
      <c r="Y26" s="55"/>
      <c r="Z26" s="59" t="n">
        <f aca="false">SUM(AA26)/$C26</f>
        <v>0</v>
      </c>
      <c r="AA26" s="59" t="n">
        <f aca="false">'5.2 Services equipment'!AJ54</f>
        <v>0</v>
      </c>
      <c r="AB26" s="55"/>
      <c r="AC26" s="59" t="n">
        <f aca="false">SUM(AD26)/$C26</f>
        <v>0</v>
      </c>
      <c r="AD26" s="59" t="n">
        <f aca="false">'5.2 Services equipment'!AO54</f>
        <v>0</v>
      </c>
      <c r="AE26" s="55"/>
      <c r="AF26" s="59" t="n">
        <f aca="false">SUM(AG26)/$C26</f>
        <v>0</v>
      </c>
      <c r="AG26" s="59"/>
      <c r="AH26" s="55"/>
      <c r="AI26" s="59"/>
      <c r="AJ26" s="59"/>
    </row>
    <row r="27" customFormat="false" ht="12.75" hidden="false" customHeight="true" outlineLevel="0" collapsed="false">
      <c r="A27" s="183" t="n">
        <v>5.3</v>
      </c>
      <c r="B27" s="37" t="s">
        <v>149</v>
      </c>
      <c r="C27" s="62" t="n">
        <f aca="false">'Project Information - 3'!$C$20</f>
        <v>1</v>
      </c>
      <c r="D27" s="6" t="s">
        <v>116</v>
      </c>
      <c r="E27" s="59" t="n">
        <f aca="false">SUM(F27)/$C27</f>
        <v>17600</v>
      </c>
      <c r="F27" s="59" t="n">
        <f aca="false">'5.3 Electrical Installations'!F54</f>
        <v>17600</v>
      </c>
      <c r="G27" s="56"/>
      <c r="H27" s="59" t="n">
        <f aca="false">SUM(I27)/$C27</f>
        <v>17600</v>
      </c>
      <c r="I27" s="59" t="n">
        <f aca="false">AVERAGE(L27,O27,R27)</f>
        <v>17600</v>
      </c>
      <c r="J27" s="55"/>
      <c r="K27" s="59" t="n">
        <f aca="false">SUM(L27)/$C27</f>
        <v>17600</v>
      </c>
      <c r="L27" s="59" t="n">
        <f aca="false">'5.3 Electrical Installations'!K54</f>
        <v>17600</v>
      </c>
      <c r="M27" s="55"/>
      <c r="N27" s="59" t="n">
        <f aca="false">SUM(O27)/$C27</f>
        <v>17600</v>
      </c>
      <c r="O27" s="59" t="n">
        <f aca="false">'5.3 Electrical Installations'!P54</f>
        <v>17600</v>
      </c>
      <c r="P27" s="55"/>
      <c r="Q27" s="59" t="n">
        <f aca="false">SUM(R27)/$C27</f>
        <v>17600</v>
      </c>
      <c r="R27" s="59" t="n">
        <f aca="false">'5.3 Electrical Installations'!U54</f>
        <v>17600</v>
      </c>
      <c r="S27" s="55"/>
      <c r="T27" s="59" t="n">
        <f aca="false">SUM(U27)/$C27</f>
        <v>0</v>
      </c>
      <c r="U27" s="59" t="n">
        <f aca="false">'5.3 Electrical Installations'!Z54</f>
        <v>0</v>
      </c>
      <c r="V27" s="55"/>
      <c r="W27" s="59" t="n">
        <f aca="false">SUM(X27)/$C27</f>
        <v>0</v>
      </c>
      <c r="X27" s="59" t="n">
        <f aca="false">'5.3 Electrical Installations'!AE54</f>
        <v>0</v>
      </c>
      <c r="Y27" s="55"/>
      <c r="Z27" s="59" t="n">
        <f aca="false">SUM(AA27)/$C27</f>
        <v>0</v>
      </c>
      <c r="AA27" s="59" t="n">
        <f aca="false">'5.3 Electrical Installations'!AJ54</f>
        <v>0</v>
      </c>
      <c r="AB27" s="55"/>
      <c r="AC27" s="59" t="n">
        <f aca="false">SUM(AD27)/$C27</f>
        <v>0</v>
      </c>
      <c r="AD27" s="59" t="n">
        <f aca="false">'5.3 Electrical Installations'!AO54</f>
        <v>0</v>
      </c>
      <c r="AE27" s="55"/>
      <c r="AF27" s="59" t="n">
        <f aca="false">SUM(AG27)/$C27</f>
        <v>0</v>
      </c>
      <c r="AG27" s="59"/>
      <c r="AH27" s="55"/>
      <c r="AI27" s="59"/>
      <c r="AJ27" s="59"/>
    </row>
    <row r="28" customFormat="false" ht="12.75" hidden="false" customHeight="true" outlineLevel="0" collapsed="false">
      <c r="A28" s="183" t="n">
        <v>5.4</v>
      </c>
      <c r="B28" s="37" t="s">
        <v>150</v>
      </c>
      <c r="C28" s="62" t="n">
        <f aca="false">'Project Information - 3'!$C$21</f>
        <v>1</v>
      </c>
      <c r="D28" s="6" t="s">
        <v>116</v>
      </c>
      <c r="E28" s="59" t="n">
        <f aca="false">SUM(F28)/$C28</f>
        <v>18500</v>
      </c>
      <c r="F28" s="59" t="n">
        <f aca="false">'5.4 Mechanical Installations'!F54</f>
        <v>18500</v>
      </c>
      <c r="G28" s="56"/>
      <c r="H28" s="59" t="n">
        <f aca="false">SUM(I28)/$C28</f>
        <v>18500</v>
      </c>
      <c r="I28" s="59" t="n">
        <f aca="false">AVERAGE(L28,O28,R28)</f>
        <v>18500</v>
      </c>
      <c r="J28" s="55"/>
      <c r="K28" s="59" t="n">
        <f aca="false">SUM(L28)/$C28</f>
        <v>18500</v>
      </c>
      <c r="L28" s="59" t="n">
        <f aca="false">'5.4 Mechanical Installations'!K54</f>
        <v>18500</v>
      </c>
      <c r="M28" s="55"/>
      <c r="N28" s="59" t="n">
        <f aca="false">SUM(O28)/$C28</f>
        <v>18500</v>
      </c>
      <c r="O28" s="59" t="n">
        <f aca="false">'5.4 Mechanical Installations'!P54</f>
        <v>18500</v>
      </c>
      <c r="P28" s="55"/>
      <c r="Q28" s="59" t="n">
        <f aca="false">SUM(R28)/$C28</f>
        <v>18500</v>
      </c>
      <c r="R28" s="59" t="n">
        <f aca="false">'5.4 Mechanical Installations'!U54</f>
        <v>18500</v>
      </c>
      <c r="S28" s="55"/>
      <c r="T28" s="59" t="n">
        <f aca="false">SUM(U28)/$C28</f>
        <v>0</v>
      </c>
      <c r="U28" s="59" t="n">
        <f aca="false">'5.4 Mechanical Installations'!Z54</f>
        <v>0</v>
      </c>
      <c r="V28" s="55"/>
      <c r="W28" s="59" t="n">
        <f aca="false">SUM(X28)/$C28</f>
        <v>0</v>
      </c>
      <c r="X28" s="59" t="n">
        <f aca="false">'5.4 Mechanical Installations'!AE54</f>
        <v>0</v>
      </c>
      <c r="Y28" s="55"/>
      <c r="Z28" s="59" t="n">
        <f aca="false">SUM(AA28)/$C28</f>
        <v>0</v>
      </c>
      <c r="AA28" s="59" t="n">
        <f aca="false">'5.4 Mechanical Installations'!AJ54</f>
        <v>0</v>
      </c>
      <c r="AB28" s="55"/>
      <c r="AC28" s="59" t="n">
        <f aca="false">SUM(AD28)/$C28</f>
        <v>0</v>
      </c>
      <c r="AD28" s="59" t="n">
        <f aca="false">'5.4 Mechanical Installations'!AO54</f>
        <v>0</v>
      </c>
      <c r="AE28" s="55"/>
      <c r="AF28" s="59" t="n">
        <f aca="false">SUM(AG28)/$C28</f>
        <v>0</v>
      </c>
      <c r="AG28" s="59"/>
      <c r="AH28" s="55"/>
      <c r="AI28" s="59"/>
      <c r="AJ28" s="59"/>
    </row>
    <row r="29" customFormat="false" ht="12.75" hidden="false" customHeight="true" outlineLevel="0" collapsed="false">
      <c r="A29" s="183" t="n">
        <v>5.5</v>
      </c>
      <c r="B29" s="37" t="s">
        <v>151</v>
      </c>
      <c r="C29" s="62" t="n">
        <f aca="false">'Project Information - 3'!$C$22</f>
        <v>1</v>
      </c>
      <c r="D29" s="62" t="n">
        <f aca="false">'Project Information - 1'!H45</f>
        <v>0</v>
      </c>
      <c r="E29" s="59" t="n">
        <f aca="false">SUM(F29)/$C29</f>
        <v>11000</v>
      </c>
      <c r="F29" s="59" t="n">
        <f aca="false">'5.5 Lift &amp; conveyor'!F54</f>
        <v>11000</v>
      </c>
      <c r="G29" s="56"/>
      <c r="H29" s="59" t="n">
        <f aca="false">SUM(I29)/$C29</f>
        <v>11000</v>
      </c>
      <c r="I29" s="59" t="n">
        <f aca="false">AVERAGE(L29,O29,R29)</f>
        <v>11000</v>
      </c>
      <c r="J29" s="55"/>
      <c r="K29" s="59" t="n">
        <f aca="false">SUM(L29)/$C29</f>
        <v>11000</v>
      </c>
      <c r="L29" s="59" t="n">
        <f aca="false">'5.5 Lift &amp; conveyor'!K54</f>
        <v>11000</v>
      </c>
      <c r="M29" s="55"/>
      <c r="N29" s="59" t="n">
        <f aca="false">SUM(O29)/$C29</f>
        <v>11000</v>
      </c>
      <c r="O29" s="59" t="n">
        <f aca="false">'5.5 Lift &amp; conveyor'!P54</f>
        <v>11000</v>
      </c>
      <c r="P29" s="55"/>
      <c r="Q29" s="59" t="n">
        <f aca="false">SUM(R29)/$C29</f>
        <v>11000</v>
      </c>
      <c r="R29" s="59" t="n">
        <f aca="false">'5.5 Lift &amp; conveyor'!U54</f>
        <v>11000</v>
      </c>
      <c r="S29" s="55"/>
      <c r="T29" s="59" t="n">
        <f aca="false">SUM(U29)/$C29</f>
        <v>0</v>
      </c>
      <c r="U29" s="59" t="n">
        <f aca="false">'5.5 Lift &amp; conveyor'!Z54</f>
        <v>0</v>
      </c>
      <c r="V29" s="55"/>
      <c r="W29" s="59" t="n">
        <f aca="false">SUM(X29)/$C29</f>
        <v>0</v>
      </c>
      <c r="X29" s="59" t="n">
        <f aca="false">'5.5 Lift &amp; conveyor'!AE54</f>
        <v>0</v>
      </c>
      <c r="Y29" s="55"/>
      <c r="Z29" s="59" t="n">
        <f aca="false">SUM(AA29)/$C29</f>
        <v>0</v>
      </c>
      <c r="AA29" s="59" t="n">
        <f aca="false">'5.5 Lift &amp; conveyor'!AJ54</f>
        <v>0</v>
      </c>
      <c r="AB29" s="55"/>
      <c r="AC29" s="59" t="n">
        <f aca="false">SUM(AD29)/$C29</f>
        <v>0</v>
      </c>
      <c r="AD29" s="59" t="n">
        <f aca="false">'5.5 Lift &amp; conveyor'!AO54</f>
        <v>0</v>
      </c>
      <c r="AE29" s="55"/>
      <c r="AF29" s="59" t="n">
        <f aca="false">SUM(AG29)/$C29</f>
        <v>0</v>
      </c>
      <c r="AG29" s="59"/>
      <c r="AH29" s="55"/>
      <c r="AI29" s="59"/>
      <c r="AJ29" s="59"/>
    </row>
    <row r="30" customFormat="false" ht="12.75" hidden="false" customHeight="true" outlineLevel="0" collapsed="false">
      <c r="A30" s="183" t="n">
        <v>5.6</v>
      </c>
      <c r="B30" s="37" t="s">
        <v>152</v>
      </c>
      <c r="C30" s="62" t="n">
        <f aca="false">'Project Information - 3'!$C$23</f>
        <v>1</v>
      </c>
      <c r="D30" s="6" t="s">
        <v>116</v>
      </c>
      <c r="E30" s="59" t="n">
        <f aca="false">SUM(F30)/$C30</f>
        <v>16400</v>
      </c>
      <c r="F30" s="59" t="n">
        <f aca="false">'5.6 Fire &amp; lightning protection'!F54</f>
        <v>16400</v>
      </c>
      <c r="G30" s="56"/>
      <c r="H30" s="59" t="n">
        <f aca="false">SUM(I30)/$C30</f>
        <v>16400</v>
      </c>
      <c r="I30" s="59" t="n">
        <f aca="false">AVERAGE(L30,O30,R30)</f>
        <v>16400</v>
      </c>
      <c r="J30" s="55"/>
      <c r="K30" s="59" t="n">
        <f aca="false">SUM(L30)/$C30</f>
        <v>16400</v>
      </c>
      <c r="L30" s="59" t="n">
        <f aca="false">'5.6 Fire &amp; lightning protection'!K54</f>
        <v>16400</v>
      </c>
      <c r="M30" s="55"/>
      <c r="N30" s="59" t="n">
        <f aca="false">SUM(O30)/$C30</f>
        <v>16400</v>
      </c>
      <c r="O30" s="59" t="n">
        <f aca="false">'5.6 Fire &amp; lightning protection'!P54</f>
        <v>16400</v>
      </c>
      <c r="P30" s="55"/>
      <c r="Q30" s="59" t="n">
        <f aca="false">SUM(R30)/$C30</f>
        <v>16400</v>
      </c>
      <c r="R30" s="59" t="n">
        <f aca="false">'5.6 Fire &amp; lightning protection'!U54</f>
        <v>16400</v>
      </c>
      <c r="S30" s="55"/>
      <c r="T30" s="59" t="n">
        <f aca="false">SUM(U30)/$C30</f>
        <v>0</v>
      </c>
      <c r="U30" s="59" t="n">
        <f aca="false">'5.6 Fire &amp; lightning protection'!Z54</f>
        <v>0</v>
      </c>
      <c r="V30" s="55"/>
      <c r="W30" s="59" t="n">
        <f aca="false">SUM(X30)/$C30</f>
        <v>0</v>
      </c>
      <c r="X30" s="59" t="n">
        <f aca="false">'5.6 Fire &amp; lightning protection'!AE54</f>
        <v>0</v>
      </c>
      <c r="Y30" s="55"/>
      <c r="Z30" s="59" t="n">
        <f aca="false">SUM(AA30)/$C30</f>
        <v>0</v>
      </c>
      <c r="AA30" s="59" t="n">
        <f aca="false">'5.6 Fire &amp; lightning protection'!AJ54</f>
        <v>0</v>
      </c>
      <c r="AB30" s="55"/>
      <c r="AC30" s="59" t="n">
        <f aca="false">SUM(AD30)/$C30</f>
        <v>0</v>
      </c>
      <c r="AD30" s="59" t="n">
        <f aca="false">'5.6 Fire &amp; lightning protection'!AO54</f>
        <v>0</v>
      </c>
      <c r="AE30" s="55"/>
      <c r="AF30" s="59" t="n">
        <f aca="false">SUM(AG30)/$C30</f>
        <v>0</v>
      </c>
      <c r="AG30" s="59"/>
      <c r="AH30" s="55"/>
      <c r="AI30" s="59"/>
      <c r="AJ30" s="59"/>
    </row>
    <row r="31" customFormat="false" ht="12.75" hidden="false" customHeight="true" outlineLevel="0" collapsed="false">
      <c r="A31" s="183" t="n">
        <v>5.7</v>
      </c>
      <c r="B31" s="37" t="s">
        <v>153</v>
      </c>
      <c r="C31" s="62" t="n">
        <f aca="false">'Project Information - 3'!$C$24</f>
        <v>1</v>
      </c>
      <c r="D31" s="6" t="s">
        <v>116</v>
      </c>
      <c r="E31" s="59" t="n">
        <f aca="false">SUM(F31)/$C31</f>
        <v>20000</v>
      </c>
      <c r="F31" s="59" t="n">
        <f aca="false">'5.7 Communication security'!F54</f>
        <v>20000</v>
      </c>
      <c r="G31" s="56"/>
      <c r="H31" s="59" t="n">
        <f aca="false">SUM(I31)/$C31</f>
        <v>20000</v>
      </c>
      <c r="I31" s="59" t="n">
        <f aca="false">AVERAGE(L31,O31,R31)</f>
        <v>20000</v>
      </c>
      <c r="J31" s="55"/>
      <c r="K31" s="59" t="n">
        <f aca="false">SUM(L31)/$C31</f>
        <v>20000</v>
      </c>
      <c r="L31" s="59" t="n">
        <f aca="false">'5.7 Communication security'!K54</f>
        <v>20000</v>
      </c>
      <c r="M31" s="55"/>
      <c r="N31" s="59" t="n">
        <f aca="false">SUM(O31)/$C31</f>
        <v>20000</v>
      </c>
      <c r="O31" s="59" t="n">
        <f aca="false">'5.7 Communication security'!P54</f>
        <v>20000</v>
      </c>
      <c r="P31" s="55"/>
      <c r="Q31" s="59" t="n">
        <f aca="false">SUM(R31)/$C31</f>
        <v>20000</v>
      </c>
      <c r="R31" s="59" t="n">
        <f aca="false">'5.7 Communication security'!U54</f>
        <v>20000</v>
      </c>
      <c r="S31" s="55"/>
      <c r="T31" s="59" t="n">
        <f aca="false">SUM(U31)/$C31</f>
        <v>20000</v>
      </c>
      <c r="U31" s="59" t="n">
        <f aca="false">'5.7 Communication security'!Z54</f>
        <v>20000</v>
      </c>
      <c r="V31" s="55"/>
      <c r="W31" s="59" t="n">
        <f aca="false">SUM(X31)/$C31</f>
        <v>30000</v>
      </c>
      <c r="X31" s="59" t="n">
        <f aca="false">'5.7 Communication security'!AE54</f>
        <v>30000</v>
      </c>
      <c r="Y31" s="55"/>
      <c r="Z31" s="59" t="n">
        <f aca="false">SUM(AA31)/$C31</f>
        <v>27500</v>
      </c>
      <c r="AA31" s="59" t="n">
        <f aca="false">'5.7 Communication security'!AJ54</f>
        <v>27500</v>
      </c>
      <c r="AB31" s="55"/>
      <c r="AC31" s="59" t="n">
        <f aca="false">SUM(AD31)/$C31</f>
        <v>50000</v>
      </c>
      <c r="AD31" s="59" t="n">
        <f aca="false">'5.7 Communication security'!AO54</f>
        <v>50000</v>
      </c>
      <c r="AE31" s="55"/>
      <c r="AF31" s="59" t="n">
        <f aca="false">SUM(AG31)/$C31</f>
        <v>0</v>
      </c>
      <c r="AG31" s="59"/>
      <c r="AH31" s="55"/>
      <c r="AI31" s="59"/>
      <c r="AJ31" s="59"/>
    </row>
    <row r="32" customFormat="false" ht="12.75" hidden="false" customHeight="true" outlineLevel="0" collapsed="false">
      <c r="A32" s="183" t="n">
        <v>5.8</v>
      </c>
      <c r="B32" s="37" t="s">
        <v>154</v>
      </c>
      <c r="C32" s="62" t="n">
        <f aca="false">'Project Information - 3'!$C$25</f>
        <v>1</v>
      </c>
      <c r="D32" s="6" t="s">
        <v>116</v>
      </c>
      <c r="E32" s="59" t="n">
        <f aca="false">SUM(F32)/$C32</f>
        <v>20000</v>
      </c>
      <c r="F32" s="59" t="n">
        <f aca="false">'5.8 Specialist installations'!F54</f>
        <v>20000</v>
      </c>
      <c r="G32" s="56"/>
      <c r="H32" s="59" t="n">
        <f aca="false">SUM(I32)/$C32</f>
        <v>20000</v>
      </c>
      <c r="I32" s="59" t="n">
        <f aca="false">AVERAGE(L32,O32,R32)</f>
        <v>20000</v>
      </c>
      <c r="J32" s="55"/>
      <c r="K32" s="59" t="n">
        <f aca="false">SUM(L32)/$C32</f>
        <v>20000</v>
      </c>
      <c r="L32" s="59" t="n">
        <f aca="false">'5.8 Specialist installations'!K54</f>
        <v>20000</v>
      </c>
      <c r="M32" s="55"/>
      <c r="N32" s="59" t="n">
        <f aca="false">SUM(O32)/$C32</f>
        <v>20000</v>
      </c>
      <c r="O32" s="59" t="n">
        <f aca="false">'5.8 Specialist installations'!P54</f>
        <v>20000</v>
      </c>
      <c r="P32" s="55"/>
      <c r="Q32" s="59" t="n">
        <f aca="false">SUM(R32)/$C32</f>
        <v>20000</v>
      </c>
      <c r="R32" s="59" t="n">
        <f aca="false">'5.8 Specialist installations'!U54</f>
        <v>20000</v>
      </c>
      <c r="S32" s="55"/>
      <c r="T32" s="59" t="n">
        <f aca="false">SUM(U32)/$C32</f>
        <v>20000</v>
      </c>
      <c r="U32" s="59" t="n">
        <f aca="false">'5.8 Specialist installations'!Z54</f>
        <v>20000</v>
      </c>
      <c r="V32" s="55"/>
      <c r="W32" s="59" t="n">
        <f aca="false">SUM(X32)/$C32</f>
        <v>30000</v>
      </c>
      <c r="X32" s="59" t="n">
        <f aca="false">'5.8 Specialist installations'!AE54</f>
        <v>30000</v>
      </c>
      <c r="Y32" s="55"/>
      <c r="Z32" s="59" t="n">
        <f aca="false">SUM(AA32)/$C32</f>
        <v>27500</v>
      </c>
      <c r="AA32" s="59" t="n">
        <f aca="false">'5.8 Specialist installations'!AJ54</f>
        <v>27500</v>
      </c>
      <c r="AB32" s="55"/>
      <c r="AC32" s="59" t="n">
        <f aca="false">SUM(AD32)/$C32</f>
        <v>50000</v>
      </c>
      <c r="AD32" s="59" t="n">
        <f aca="false">'5.8 Specialist installations'!AO54</f>
        <v>50000</v>
      </c>
      <c r="AE32" s="55"/>
      <c r="AF32" s="59" t="n">
        <f aca="false">SUM(AG32)/$C32</f>
        <v>0</v>
      </c>
      <c r="AG32" s="59"/>
      <c r="AH32" s="55"/>
      <c r="AI32" s="59"/>
      <c r="AJ32" s="59"/>
    </row>
    <row r="33" customFormat="false" ht="12.75" hidden="false" customHeight="true" outlineLevel="0" collapsed="false">
      <c r="A33" s="183" t="n">
        <v>5.9</v>
      </c>
      <c r="B33" s="37" t="s">
        <v>155</v>
      </c>
      <c r="C33" s="62" t="n">
        <f aca="false">'Project Information - 3'!$C$26</f>
        <v>1</v>
      </c>
      <c r="D33" s="6" t="s">
        <v>116</v>
      </c>
      <c r="E33" s="59" t="n">
        <f aca="false">SUM(F33)/$C33</f>
        <v>20000</v>
      </c>
      <c r="F33" s="59" t="n">
        <f aca="false">'5.9 BWIC with services'!F54</f>
        <v>20000</v>
      </c>
      <c r="G33" s="56"/>
      <c r="H33" s="59" t="n">
        <f aca="false">SUM(I33)/$C33</f>
        <v>20000</v>
      </c>
      <c r="I33" s="59" t="n">
        <f aca="false">AVERAGE(L33,O33,R33)</f>
        <v>20000</v>
      </c>
      <c r="J33" s="55"/>
      <c r="K33" s="59" t="n">
        <f aca="false">SUM(L33)/$C33</f>
        <v>20000</v>
      </c>
      <c r="L33" s="59" t="n">
        <f aca="false">'5.9 BWIC with services'!K54</f>
        <v>20000</v>
      </c>
      <c r="M33" s="55"/>
      <c r="N33" s="59" t="n">
        <f aca="false">SUM(O33)/$C33</f>
        <v>20000</v>
      </c>
      <c r="O33" s="59" t="n">
        <f aca="false">'5.9 BWIC with services'!P54</f>
        <v>20000</v>
      </c>
      <c r="P33" s="55"/>
      <c r="Q33" s="59" t="n">
        <f aca="false">SUM(R33)/$C33</f>
        <v>20000</v>
      </c>
      <c r="R33" s="59" t="n">
        <f aca="false">'5.9 BWIC with services'!U54</f>
        <v>20000</v>
      </c>
      <c r="S33" s="55"/>
      <c r="T33" s="59" t="n">
        <f aca="false">SUM(U33)/$C33</f>
        <v>20000</v>
      </c>
      <c r="U33" s="59" t="n">
        <f aca="false">'5.9 BWIC with services'!Z54</f>
        <v>20000</v>
      </c>
      <c r="V33" s="55"/>
      <c r="W33" s="59" t="n">
        <f aca="false">SUM(X33)/$C33</f>
        <v>30000</v>
      </c>
      <c r="X33" s="59" t="n">
        <f aca="false">'5.9 BWIC with services'!AE54</f>
        <v>30000</v>
      </c>
      <c r="Y33" s="55"/>
      <c r="Z33" s="59" t="n">
        <f aca="false">SUM(AA33)/$C33</f>
        <v>27500</v>
      </c>
      <c r="AA33" s="59" t="n">
        <f aca="false">'5.9 BWIC with services'!AJ54</f>
        <v>27500</v>
      </c>
      <c r="AB33" s="55"/>
      <c r="AC33" s="59" t="n">
        <f aca="false">SUM(AD33)/$C33</f>
        <v>50000</v>
      </c>
      <c r="AD33" s="59" t="n">
        <f aca="false">'5.9 BWIC with services'!AO54</f>
        <v>50000</v>
      </c>
      <c r="AE33" s="55"/>
      <c r="AF33" s="59" t="n">
        <f aca="false">SUM(AG33)/$C33</f>
        <v>0</v>
      </c>
      <c r="AG33" s="59"/>
      <c r="AH33" s="55"/>
      <c r="AI33" s="59"/>
      <c r="AJ33" s="59"/>
    </row>
    <row r="34" customFormat="false" ht="12.75" hidden="false" customHeight="true" outlineLevel="0" collapsed="false">
      <c r="A34" s="63" t="n">
        <v>5.1</v>
      </c>
      <c r="B34" s="37" t="s">
        <v>156</v>
      </c>
      <c r="C34" s="62" t="n">
        <f aca="false">'Project Information - 3'!$C$27</f>
        <v>1</v>
      </c>
      <c r="D34" s="6" t="s">
        <v>116</v>
      </c>
      <c r="E34" s="59" t="n">
        <f aca="false">SUM(F34)/$C34</f>
        <v>20000</v>
      </c>
      <c r="F34" s="59" t="n">
        <f aca="false">'5.10 Testing &amp; Commissioning'!F54</f>
        <v>20000</v>
      </c>
      <c r="G34" s="56"/>
      <c r="H34" s="59" t="n">
        <f aca="false">SUM(I34)/$C34</f>
        <v>20000</v>
      </c>
      <c r="I34" s="59" t="n">
        <f aca="false">AVERAGE(L34,O34,R34)</f>
        <v>20000</v>
      </c>
      <c r="J34" s="55"/>
      <c r="K34" s="59" t="n">
        <f aca="false">SUM(L34)/$C34</f>
        <v>20000</v>
      </c>
      <c r="L34" s="59" t="n">
        <f aca="false">'5.10 Testing &amp; Commissioning'!K54</f>
        <v>20000</v>
      </c>
      <c r="M34" s="55"/>
      <c r="N34" s="59" t="n">
        <f aca="false">SUM(O34)/$C34</f>
        <v>20000</v>
      </c>
      <c r="O34" s="59" t="n">
        <f aca="false">'5.10 Testing &amp; Commissioning'!P54</f>
        <v>20000</v>
      </c>
      <c r="P34" s="55"/>
      <c r="Q34" s="59" t="n">
        <f aca="false">SUM(R34)/$C34</f>
        <v>20000</v>
      </c>
      <c r="R34" s="59" t="n">
        <f aca="false">'5.10 Testing &amp; Commissioning'!U54</f>
        <v>20000</v>
      </c>
      <c r="S34" s="55"/>
      <c r="T34" s="59" t="n">
        <f aca="false">SUM(U34)/$C34</f>
        <v>20000</v>
      </c>
      <c r="U34" s="59" t="n">
        <f aca="false">'5.10 Testing &amp; Commissioning'!Z54</f>
        <v>20000</v>
      </c>
      <c r="V34" s="55"/>
      <c r="W34" s="59" t="n">
        <f aca="false">SUM(X34)/$C34</f>
        <v>30000</v>
      </c>
      <c r="X34" s="59" t="n">
        <f aca="false">'5.10 Testing &amp; Commissioning'!AE54</f>
        <v>30000</v>
      </c>
      <c r="Y34" s="55"/>
      <c r="Z34" s="59" t="n">
        <f aca="false">SUM(AA34)/$C34</f>
        <v>27500</v>
      </c>
      <c r="AA34" s="59" t="n">
        <f aca="false">'5.10 Testing &amp; Commissioning'!AJ54</f>
        <v>27500</v>
      </c>
      <c r="AB34" s="55"/>
      <c r="AC34" s="59" t="n">
        <f aca="false">SUM(AD34)/$C34</f>
        <v>50000</v>
      </c>
      <c r="AD34" s="59" t="n">
        <f aca="false">'5.10 Testing &amp; Commissioning'!AO54</f>
        <v>50000</v>
      </c>
      <c r="AE34" s="55"/>
      <c r="AF34" s="59" t="n">
        <f aca="false">SUM(AG34)/$C34</f>
        <v>0</v>
      </c>
      <c r="AG34" s="59"/>
      <c r="AH34" s="55"/>
      <c r="AI34" s="59"/>
      <c r="AJ34" s="59"/>
    </row>
    <row r="35" customFormat="false" ht="12.75" hidden="false" customHeight="true" outlineLevel="0" collapsed="false">
      <c r="A35" s="35" t="n">
        <v>6</v>
      </c>
      <c r="B35" s="52" t="s">
        <v>157</v>
      </c>
      <c r="C35" s="60"/>
      <c r="D35" s="60"/>
      <c r="E35" s="55"/>
      <c r="F35" s="55" t="n">
        <f aca="false">SUM(F36:F44)</f>
        <v>500000</v>
      </c>
      <c r="G35" s="56"/>
      <c r="H35" s="55"/>
      <c r="I35" s="55" t="n">
        <f aca="false">SUM(I36:I44)</f>
        <v>500000</v>
      </c>
      <c r="J35" s="55"/>
      <c r="K35" s="55"/>
      <c r="L35" s="55" t="n">
        <f aca="false">SUM(L36:L44)</f>
        <v>500000</v>
      </c>
      <c r="M35" s="55"/>
      <c r="N35" s="55"/>
      <c r="O35" s="55" t="n">
        <f aca="false">SUM(O36:O44)</f>
        <v>500000</v>
      </c>
      <c r="P35" s="55"/>
      <c r="Q35" s="55"/>
      <c r="R35" s="55" t="n">
        <f aca="false">SUM(R36:R44)</f>
        <v>1283358</v>
      </c>
      <c r="S35" s="55" t="e">
        <f aca="false">T35/'Project Information - 1'!$G$3</f>
        <v>#DIV/0!</v>
      </c>
      <c r="T35" s="55"/>
      <c r="U35" s="55" t="n">
        <f aca="false">SUM(U36:U44)</f>
        <v>1283358</v>
      </c>
      <c r="V35" s="55"/>
      <c r="W35" s="55"/>
      <c r="X35" s="55" t="n">
        <f aca="false">SUM(X36:X44)</f>
        <v>1433358</v>
      </c>
      <c r="Y35" s="55"/>
      <c r="Z35" s="55"/>
      <c r="AA35" s="55" t="n">
        <f aca="false">SUM(AA36:AA44)</f>
        <v>1395858</v>
      </c>
      <c r="AB35" s="55"/>
      <c r="AC35" s="55"/>
      <c r="AD35" s="55" t="n">
        <f aca="false">SUM(AD36:AD44)</f>
        <v>1733358</v>
      </c>
      <c r="AE35" s="55"/>
      <c r="AF35" s="55"/>
      <c r="AG35" s="55" t="n">
        <f aca="false">SUM(AG36:AG44)</f>
        <v>0</v>
      </c>
      <c r="AH35" s="55"/>
      <c r="AI35" s="55"/>
      <c r="AJ35" s="55" t="n">
        <f aca="false">SUM(AJ36:AJ44)</f>
        <v>0</v>
      </c>
    </row>
    <row r="36" customFormat="false" ht="12.75" hidden="false" customHeight="true" outlineLevel="0" collapsed="false">
      <c r="A36" s="183" t="n">
        <v>6.1</v>
      </c>
      <c r="B36" s="36" t="s">
        <v>157</v>
      </c>
      <c r="C36" s="62" t="n">
        <f aca="false">'Project Information - 3'!$C$28</f>
        <v>1000</v>
      </c>
      <c r="D36" s="6" t="s">
        <v>116</v>
      </c>
      <c r="E36" s="59" t="n">
        <f aca="false">SUM(F36)/$C36</f>
        <v>20</v>
      </c>
      <c r="F36" s="59" t="n">
        <f aca="false">'6.1 Prefab buildings &amp; units'!F54</f>
        <v>20000</v>
      </c>
      <c r="G36" s="56"/>
      <c r="H36" s="59" t="n">
        <f aca="false">SUM(I36)/$C36</f>
        <v>20</v>
      </c>
      <c r="I36" s="59" t="n">
        <f aca="false">AVERAGE(L36,O36,R36)</f>
        <v>20000</v>
      </c>
      <c r="J36" s="55"/>
      <c r="K36" s="59" t="n">
        <f aca="false">SUM(L36)/$C36</f>
        <v>20</v>
      </c>
      <c r="L36" s="59" t="n">
        <f aca="false">'6.1 Prefab buildings &amp; units'!K54</f>
        <v>20000</v>
      </c>
      <c r="M36" s="55"/>
      <c r="N36" s="59" t="n">
        <f aca="false">SUM(O36)/$C36</f>
        <v>20</v>
      </c>
      <c r="O36" s="59" t="n">
        <f aca="false">'6.1 Prefab buildings &amp; units'!P54</f>
        <v>20000</v>
      </c>
      <c r="P36" s="55"/>
      <c r="Q36" s="59" t="n">
        <f aca="false">SUM(R36)/$C36</f>
        <v>20</v>
      </c>
      <c r="R36" s="59" t="n">
        <f aca="false">'6.1 Prefab buildings &amp; units'!U54</f>
        <v>20000</v>
      </c>
      <c r="S36" s="55"/>
      <c r="T36" s="59" t="n">
        <f aca="false">SUM(U36)/$C36</f>
        <v>20</v>
      </c>
      <c r="U36" s="59" t="n">
        <f aca="false">'6.1 Prefab buildings &amp; units'!Z54</f>
        <v>20000</v>
      </c>
      <c r="V36" s="55"/>
      <c r="W36" s="59" t="n">
        <f aca="false">SUM(X36)/$C36</f>
        <v>30</v>
      </c>
      <c r="X36" s="59" t="n">
        <f aca="false">'6.1 Prefab buildings &amp; units'!AE54</f>
        <v>30000</v>
      </c>
      <c r="Y36" s="55"/>
      <c r="Z36" s="59" t="n">
        <f aca="false">SUM(AA36)/$C36</f>
        <v>27.5</v>
      </c>
      <c r="AA36" s="59" t="n">
        <f aca="false">'6.1 Prefab buildings &amp; units'!AJ54</f>
        <v>27500</v>
      </c>
      <c r="AB36" s="55"/>
      <c r="AC36" s="59" t="n">
        <f aca="false">SUM(AD36)/$C36</f>
        <v>50</v>
      </c>
      <c r="AD36" s="59" t="n">
        <f aca="false">'6.1 Prefab buildings &amp; units'!AO54</f>
        <v>50000</v>
      </c>
      <c r="AE36" s="55"/>
      <c r="AF36" s="59" t="n">
        <f aca="false">SUM(AG36)/$C36</f>
        <v>0</v>
      </c>
      <c r="AG36" s="59"/>
      <c r="AH36" s="55"/>
      <c r="AI36" s="59"/>
      <c r="AJ36" s="59"/>
    </row>
    <row r="37" customFormat="false" ht="12.75" hidden="false" customHeight="true" outlineLevel="0" collapsed="false">
      <c r="A37" s="35" t="n">
        <v>7</v>
      </c>
      <c r="B37" s="52" t="s">
        <v>190</v>
      </c>
      <c r="C37" s="60"/>
      <c r="D37" s="60"/>
      <c r="E37" s="55"/>
      <c r="F37" s="55" t="n">
        <f aca="false">SUM(F38:F46)</f>
        <v>260000</v>
      </c>
      <c r="G37" s="56"/>
      <c r="H37" s="55"/>
      <c r="I37" s="55" t="n">
        <f aca="false">SUM(I38:I46)</f>
        <v>260000</v>
      </c>
      <c r="J37" s="55"/>
      <c r="K37" s="55"/>
      <c r="L37" s="55" t="n">
        <f aca="false">SUM(L38:L46)</f>
        <v>260000</v>
      </c>
      <c r="M37" s="55"/>
      <c r="N37" s="55"/>
      <c r="O37" s="55" t="n">
        <f aca="false">SUM(O38:O46)</f>
        <v>260000</v>
      </c>
      <c r="P37" s="55"/>
      <c r="Q37" s="55"/>
      <c r="R37" s="55" t="n">
        <f aca="false">SUM(R38:R46)</f>
        <v>651679</v>
      </c>
      <c r="S37" s="55"/>
      <c r="T37" s="55"/>
      <c r="U37" s="55" t="n">
        <f aca="false">SUM(U38:U46)</f>
        <v>651679</v>
      </c>
      <c r="V37" s="55"/>
      <c r="W37" s="55"/>
      <c r="X37" s="55" t="n">
        <f aca="false">SUM(X38:X46)</f>
        <v>731679</v>
      </c>
      <c r="Y37" s="55"/>
      <c r="Z37" s="55"/>
      <c r="AA37" s="55" t="n">
        <f aca="false">SUM(AA38:AA46)</f>
        <v>711679</v>
      </c>
      <c r="AB37" s="55"/>
      <c r="AC37" s="55"/>
      <c r="AD37" s="55" t="n">
        <f aca="false">SUM(AD38:AD46)</f>
        <v>891679</v>
      </c>
      <c r="AE37" s="55"/>
      <c r="AF37" s="55"/>
      <c r="AG37" s="55" t="n">
        <f aca="false">SUM(AG38:AG46)</f>
        <v>0</v>
      </c>
      <c r="AH37" s="55"/>
      <c r="AI37" s="55"/>
      <c r="AJ37" s="55" t="n">
        <f aca="false">SUM(AJ38:AJ46)</f>
        <v>0</v>
      </c>
    </row>
    <row r="38" customFormat="false" ht="12.75" hidden="false" customHeight="true" outlineLevel="0" collapsed="false">
      <c r="A38" s="183" t="n">
        <v>7.1</v>
      </c>
      <c r="B38" s="36" t="s">
        <v>158</v>
      </c>
      <c r="C38" s="62" t="n">
        <f aca="false">'Project Information - 3'!$C$29</f>
        <v>1000</v>
      </c>
      <c r="D38" s="6" t="s">
        <v>116</v>
      </c>
      <c r="E38" s="59" t="n">
        <f aca="false">SUM(F38)/$C38</f>
        <v>20</v>
      </c>
      <c r="F38" s="59" t="n">
        <f aca="false">'7.1 Minor demolition'!F54</f>
        <v>20000</v>
      </c>
      <c r="G38" s="56"/>
      <c r="H38" s="59" t="n">
        <f aca="false">SUM(I38)/$C38</f>
        <v>20</v>
      </c>
      <c r="I38" s="59" t="n">
        <f aca="false">AVERAGE(L38,O38,R38)</f>
        <v>20000</v>
      </c>
      <c r="J38" s="55"/>
      <c r="K38" s="59" t="n">
        <f aca="false">SUM(L38)/$C38</f>
        <v>20</v>
      </c>
      <c r="L38" s="59" t="n">
        <f aca="false">'7.1 Minor demolition'!K54</f>
        <v>20000</v>
      </c>
      <c r="M38" s="55"/>
      <c r="N38" s="59" t="n">
        <f aca="false">SUM(O38)/$C38</f>
        <v>20</v>
      </c>
      <c r="O38" s="59" t="n">
        <f aca="false">'7.1 Minor demolition'!P54</f>
        <v>20000</v>
      </c>
      <c r="P38" s="55"/>
      <c r="Q38" s="59" t="n">
        <f aca="false">SUM(R38)/$C38</f>
        <v>20</v>
      </c>
      <c r="R38" s="59" t="n">
        <f aca="false">'7.1 Minor demolition'!U54</f>
        <v>20000</v>
      </c>
      <c r="S38" s="55"/>
      <c r="T38" s="59" t="n">
        <f aca="false">SUM(U38)/$C38</f>
        <v>20</v>
      </c>
      <c r="U38" s="59" t="n">
        <f aca="false">'7.1 Minor demolition'!Z54</f>
        <v>20000</v>
      </c>
      <c r="V38" s="55"/>
      <c r="W38" s="59" t="n">
        <f aca="false">SUM(X38)/$C38</f>
        <v>30</v>
      </c>
      <c r="X38" s="59" t="n">
        <f aca="false">'7.1 Minor demolition'!AE54</f>
        <v>30000</v>
      </c>
      <c r="Y38" s="55"/>
      <c r="Z38" s="59" t="n">
        <f aca="false">SUM(AA38)/$C38</f>
        <v>27.5</v>
      </c>
      <c r="AA38" s="59" t="n">
        <f aca="false">'7.1 Minor demolition'!AJ54</f>
        <v>27500</v>
      </c>
      <c r="AB38" s="55"/>
      <c r="AC38" s="59" t="n">
        <f aca="false">SUM(AD38)/$C38</f>
        <v>50</v>
      </c>
      <c r="AD38" s="59" t="n">
        <f aca="false">'7.1 Minor demolition'!AO54</f>
        <v>50000</v>
      </c>
      <c r="AE38" s="55"/>
      <c r="AF38" s="59" t="n">
        <f aca="false">SUM(AG38)/$C38</f>
        <v>0</v>
      </c>
      <c r="AG38" s="59"/>
      <c r="AH38" s="55"/>
      <c r="AI38" s="59"/>
      <c r="AJ38" s="59"/>
    </row>
    <row r="39" customFormat="false" ht="12.75" hidden="false" customHeight="true" outlineLevel="0" collapsed="false">
      <c r="A39" s="183" t="n">
        <v>7.2</v>
      </c>
      <c r="B39" s="36" t="s">
        <v>159</v>
      </c>
      <c r="C39" s="62" t="n">
        <f aca="false">'Project Information - 3'!$C$30</f>
        <v>1000</v>
      </c>
      <c r="D39" s="6" t="s">
        <v>116</v>
      </c>
      <c r="E39" s="59" t="n">
        <f aca="false">SUM(F39)/$C39</f>
        <v>20</v>
      </c>
      <c r="F39" s="59" t="n">
        <f aca="false">'7.2 Repairs to existing'!F54</f>
        <v>20000</v>
      </c>
      <c r="G39" s="56"/>
      <c r="H39" s="59" t="n">
        <f aca="false">SUM(I39)/$C39</f>
        <v>20</v>
      </c>
      <c r="I39" s="59" t="n">
        <f aca="false">AVERAGE(L39,O39,R39)</f>
        <v>20000</v>
      </c>
      <c r="J39" s="55"/>
      <c r="K39" s="59" t="n">
        <f aca="false">SUM(L39)/$C39</f>
        <v>20</v>
      </c>
      <c r="L39" s="59" t="n">
        <f aca="false">'7.2 Repairs to existing'!K54</f>
        <v>20000</v>
      </c>
      <c r="M39" s="55"/>
      <c r="N39" s="59" t="n">
        <f aca="false">SUM(O39)/$C39</f>
        <v>20</v>
      </c>
      <c r="O39" s="59" t="n">
        <f aca="false">'7.2 Repairs to existing'!P54</f>
        <v>20000</v>
      </c>
      <c r="P39" s="55"/>
      <c r="Q39" s="59" t="n">
        <f aca="false">SUM(R39)/$C39</f>
        <v>20</v>
      </c>
      <c r="R39" s="59" t="n">
        <f aca="false">'7.2 Repairs to existing'!U54</f>
        <v>20000</v>
      </c>
      <c r="S39" s="55"/>
      <c r="T39" s="59" t="n">
        <f aca="false">SUM(U39)/$C39</f>
        <v>20</v>
      </c>
      <c r="U39" s="59" t="n">
        <f aca="false">'7.2 Repairs to existing'!Z54</f>
        <v>20000</v>
      </c>
      <c r="V39" s="55"/>
      <c r="W39" s="59" t="n">
        <f aca="false">SUM(X39)/$C39</f>
        <v>30</v>
      </c>
      <c r="X39" s="59" t="n">
        <f aca="false">'7.2 Repairs to existing'!AE54</f>
        <v>30000</v>
      </c>
      <c r="Y39" s="55"/>
      <c r="Z39" s="59" t="n">
        <f aca="false">SUM(AA39)/$C39</f>
        <v>27.5</v>
      </c>
      <c r="AA39" s="59" t="n">
        <f aca="false">'7.2 Repairs to existing'!AJ54</f>
        <v>27500</v>
      </c>
      <c r="AB39" s="55"/>
      <c r="AC39" s="59" t="n">
        <f aca="false">SUM(AD39)/$C39</f>
        <v>50</v>
      </c>
      <c r="AD39" s="59" t="n">
        <f aca="false">'7.2 Repairs to existing'!AO54</f>
        <v>50000</v>
      </c>
      <c r="AE39" s="55"/>
      <c r="AF39" s="59" t="n">
        <f aca="false">SUM(AG39)/$C39</f>
        <v>0</v>
      </c>
      <c r="AG39" s="59"/>
      <c r="AH39" s="55"/>
      <c r="AI39" s="59"/>
      <c r="AJ39" s="59"/>
    </row>
    <row r="40" customFormat="false" ht="12.75" hidden="false" customHeight="true" outlineLevel="0" collapsed="false">
      <c r="A40" s="183" t="n">
        <v>7.3</v>
      </c>
      <c r="B40" s="36" t="s">
        <v>160</v>
      </c>
      <c r="C40" s="62" t="n">
        <f aca="false">'Project Information - 3'!$C$31</f>
        <v>1000</v>
      </c>
      <c r="D40" s="6" t="s">
        <v>116</v>
      </c>
      <c r="E40" s="59" t="n">
        <f aca="false">SUM(F40)/$C40</f>
        <v>20</v>
      </c>
      <c r="F40" s="59" t="n">
        <f aca="false">'7.3 Damp proof courses'!F54</f>
        <v>20000</v>
      </c>
      <c r="G40" s="56"/>
      <c r="H40" s="59" t="n">
        <f aca="false">SUM(I40)/$C40</f>
        <v>20</v>
      </c>
      <c r="I40" s="59" t="n">
        <f aca="false">AVERAGE(L40,O40,R40)</f>
        <v>20000</v>
      </c>
      <c r="J40" s="55"/>
      <c r="K40" s="59" t="n">
        <f aca="false">SUM(L40)/$C40</f>
        <v>20</v>
      </c>
      <c r="L40" s="59" t="n">
        <f aca="false">'7.3 Damp proof courses'!K54</f>
        <v>20000</v>
      </c>
      <c r="M40" s="55"/>
      <c r="N40" s="59" t="n">
        <f aca="false">SUM(O40)/$C40</f>
        <v>20</v>
      </c>
      <c r="O40" s="59" t="n">
        <f aca="false">'7.3 Damp proof courses'!P54</f>
        <v>20000</v>
      </c>
      <c r="P40" s="55"/>
      <c r="Q40" s="59" t="n">
        <f aca="false">SUM(R40)/$C40</f>
        <v>20</v>
      </c>
      <c r="R40" s="59" t="n">
        <f aca="false">'7.3 Damp proof courses'!U54</f>
        <v>20000</v>
      </c>
      <c r="S40" s="55"/>
      <c r="T40" s="59" t="n">
        <f aca="false">SUM(U40)/$C40</f>
        <v>20</v>
      </c>
      <c r="U40" s="59" t="n">
        <f aca="false">'7.3 Damp proof courses'!Z54</f>
        <v>20000</v>
      </c>
      <c r="V40" s="55"/>
      <c r="W40" s="59" t="n">
        <f aca="false">SUM(X40)/$C40</f>
        <v>30</v>
      </c>
      <c r="X40" s="59" t="n">
        <f aca="false">'7.3 Damp proof courses'!AE54</f>
        <v>30000</v>
      </c>
      <c r="Y40" s="55"/>
      <c r="Z40" s="59" t="n">
        <f aca="false">SUM(AA40)/$C40</f>
        <v>27.5</v>
      </c>
      <c r="AA40" s="59" t="n">
        <f aca="false">'7.3 Damp proof courses'!AJ54</f>
        <v>27500</v>
      </c>
      <c r="AB40" s="55"/>
      <c r="AC40" s="59" t="n">
        <f aca="false">SUM(AD40)/$C40</f>
        <v>50</v>
      </c>
      <c r="AD40" s="59" t="n">
        <f aca="false">'7.3 Damp proof courses'!AO54</f>
        <v>50000</v>
      </c>
      <c r="AE40" s="55"/>
      <c r="AF40" s="59" t="n">
        <f aca="false">SUM(AG40)/$C40</f>
        <v>0</v>
      </c>
      <c r="AG40" s="59"/>
      <c r="AH40" s="55"/>
      <c r="AI40" s="59"/>
      <c r="AJ40" s="59"/>
    </row>
    <row r="41" customFormat="false" ht="12.75" hidden="false" customHeight="true" outlineLevel="0" collapsed="false">
      <c r="A41" s="183" t="n">
        <v>7.4</v>
      </c>
      <c r="B41" s="36" t="s">
        <v>161</v>
      </c>
      <c r="C41" s="62" t="n">
        <f aca="false">'Project Information - 3'!$C$32</f>
        <v>1000</v>
      </c>
      <c r="D41" s="6" t="s">
        <v>116</v>
      </c>
      <c r="E41" s="59" t="n">
        <f aca="false">SUM(F41)/$C41</f>
        <v>20</v>
      </c>
      <c r="F41" s="59" t="n">
        <f aca="false">'7.4 Facade retention'!F54</f>
        <v>20000</v>
      </c>
      <c r="G41" s="56"/>
      <c r="H41" s="59" t="n">
        <f aca="false">SUM(I41)/$C41</f>
        <v>20</v>
      </c>
      <c r="I41" s="59" t="n">
        <f aca="false">AVERAGE(L41,O41,R41)</f>
        <v>20000</v>
      </c>
      <c r="J41" s="55"/>
      <c r="K41" s="59" t="n">
        <f aca="false">SUM(L41)/$C41</f>
        <v>20</v>
      </c>
      <c r="L41" s="59" t="n">
        <f aca="false">'7.4 Facade retention'!K54</f>
        <v>20000</v>
      </c>
      <c r="M41" s="55"/>
      <c r="N41" s="59" t="n">
        <f aca="false">SUM(O41)/$C41</f>
        <v>20</v>
      </c>
      <c r="O41" s="59" t="n">
        <f aca="false">'7.4 Facade retention'!P54</f>
        <v>20000</v>
      </c>
      <c r="P41" s="55"/>
      <c r="Q41" s="59" t="n">
        <f aca="false">SUM(R41)/$C41</f>
        <v>20</v>
      </c>
      <c r="R41" s="59" t="n">
        <f aca="false">'7.4 Facade retention'!U54</f>
        <v>20000</v>
      </c>
      <c r="S41" s="55"/>
      <c r="T41" s="59" t="n">
        <f aca="false">SUM(U41)/$C41</f>
        <v>20</v>
      </c>
      <c r="U41" s="59" t="n">
        <f aca="false">'7.4 Facade retention'!Z54</f>
        <v>20000</v>
      </c>
      <c r="V41" s="55"/>
      <c r="W41" s="59" t="n">
        <f aca="false">SUM(X41)/$C41</f>
        <v>30</v>
      </c>
      <c r="X41" s="59" t="n">
        <f aca="false">'7.4 Facade retention'!AE54</f>
        <v>30000</v>
      </c>
      <c r="Y41" s="55"/>
      <c r="Z41" s="59" t="n">
        <f aca="false">SUM(AA41)/$C41</f>
        <v>27.5</v>
      </c>
      <c r="AA41" s="59" t="n">
        <f aca="false">'7.4 Facade retention'!AJ54</f>
        <v>27500</v>
      </c>
      <c r="AB41" s="55"/>
      <c r="AC41" s="59" t="n">
        <f aca="false">SUM(AD41)/$C41</f>
        <v>50</v>
      </c>
      <c r="AD41" s="59" t="n">
        <f aca="false">'7.4 Facade retention'!AO54</f>
        <v>50000</v>
      </c>
      <c r="AE41" s="55"/>
      <c r="AF41" s="59" t="n">
        <f aca="false">SUM(AG41)/$C41</f>
        <v>0</v>
      </c>
      <c r="AG41" s="59"/>
      <c r="AH41" s="55"/>
      <c r="AI41" s="59"/>
      <c r="AJ41" s="59"/>
    </row>
    <row r="42" customFormat="false" ht="12.75" hidden="false" customHeight="true" outlineLevel="0" collapsed="false">
      <c r="A42" s="183" t="n">
        <v>7.5</v>
      </c>
      <c r="B42" s="36" t="s">
        <v>162</v>
      </c>
      <c r="C42" s="62" t="n">
        <f aca="false">'Project Information - 3'!$C$33</f>
        <v>1000</v>
      </c>
      <c r="D42" s="6" t="s">
        <v>116</v>
      </c>
      <c r="E42" s="59" t="n">
        <f aca="false">SUM(F42)/$C42</f>
        <v>20</v>
      </c>
      <c r="F42" s="59" t="n">
        <f aca="false">'7.5 Cleaning existing surfaces'!F54</f>
        <v>20000</v>
      </c>
      <c r="G42" s="56"/>
      <c r="H42" s="59" t="n">
        <f aca="false">SUM(I42)/$C42</f>
        <v>20</v>
      </c>
      <c r="I42" s="59" t="n">
        <f aca="false">AVERAGE(L42,O42,R42)</f>
        <v>20000</v>
      </c>
      <c r="J42" s="55"/>
      <c r="K42" s="59" t="n">
        <f aca="false">SUM(L42)/$C42</f>
        <v>20</v>
      </c>
      <c r="L42" s="59" t="n">
        <f aca="false">'7.5 Cleaning existing surfaces'!K54</f>
        <v>20000</v>
      </c>
      <c r="M42" s="55"/>
      <c r="N42" s="59" t="n">
        <f aca="false">SUM(O42)/$C42</f>
        <v>20</v>
      </c>
      <c r="O42" s="59" t="n">
        <f aca="false">'7.5 Cleaning existing surfaces'!P54</f>
        <v>20000</v>
      </c>
      <c r="P42" s="55"/>
      <c r="Q42" s="59" t="n">
        <f aca="false">SUM(R42)/$C42</f>
        <v>20</v>
      </c>
      <c r="R42" s="59" t="n">
        <f aca="false">'7.5 Cleaning existing surfaces'!U54</f>
        <v>20000</v>
      </c>
      <c r="S42" s="55"/>
      <c r="T42" s="59" t="n">
        <f aca="false">SUM(U42)/$C42</f>
        <v>20</v>
      </c>
      <c r="U42" s="59" t="n">
        <f aca="false">'7.5 Cleaning existing surfaces'!Z54</f>
        <v>20000</v>
      </c>
      <c r="V42" s="55"/>
      <c r="W42" s="59" t="n">
        <f aca="false">SUM(X42)/$C42</f>
        <v>30</v>
      </c>
      <c r="X42" s="59" t="n">
        <f aca="false">'7.5 Cleaning existing surfaces'!AE54</f>
        <v>30000</v>
      </c>
      <c r="Y42" s="55"/>
      <c r="Z42" s="59" t="n">
        <f aca="false">SUM(AA42)/$C42</f>
        <v>27.5</v>
      </c>
      <c r="AA42" s="59" t="n">
        <f aca="false">'7.5 Cleaning existing surfaces'!AJ54</f>
        <v>27500</v>
      </c>
      <c r="AB42" s="55"/>
      <c r="AC42" s="59" t="n">
        <f aca="false">SUM(AD42)/$C42</f>
        <v>50</v>
      </c>
      <c r="AD42" s="59" t="n">
        <f aca="false">'7.5 Cleaning existing surfaces'!AO54</f>
        <v>50000</v>
      </c>
      <c r="AE42" s="55"/>
      <c r="AF42" s="59" t="n">
        <f aca="false">SUM(AG42)/$C42</f>
        <v>0</v>
      </c>
      <c r="AG42" s="59"/>
      <c r="AH42" s="55"/>
      <c r="AI42" s="59"/>
      <c r="AJ42" s="59"/>
    </row>
    <row r="43" customFormat="false" ht="12.75" hidden="false" customHeight="true" outlineLevel="0" collapsed="false">
      <c r="A43" s="183" t="n">
        <v>7.6</v>
      </c>
      <c r="B43" s="36" t="s">
        <v>163</v>
      </c>
      <c r="C43" s="62" t="n">
        <f aca="false">'Project Information - 3'!$C$34</f>
        <v>1000</v>
      </c>
      <c r="D43" s="6" t="s">
        <v>116</v>
      </c>
      <c r="E43" s="59" t="n">
        <f aca="false">SUM(F43)/$C43</f>
        <v>20</v>
      </c>
      <c r="F43" s="59" t="n">
        <f aca="false">'7.6 Renovation works'!F54</f>
        <v>20000</v>
      </c>
      <c r="G43" s="56"/>
      <c r="H43" s="59" t="n">
        <f aca="false">SUM(I43)/$C43</f>
        <v>20</v>
      </c>
      <c r="I43" s="59" t="n">
        <f aca="false">AVERAGE(L43,O43,R43)</f>
        <v>20000</v>
      </c>
      <c r="J43" s="55"/>
      <c r="K43" s="59" t="n">
        <f aca="false">SUM(L43)/$C43</f>
        <v>20</v>
      </c>
      <c r="L43" s="59" t="n">
        <f aca="false">'7.6 Renovation works'!K54</f>
        <v>20000</v>
      </c>
      <c r="M43" s="55"/>
      <c r="N43" s="59" t="n">
        <f aca="false">SUM(O43)/$C43</f>
        <v>20</v>
      </c>
      <c r="O43" s="59" t="n">
        <f aca="false">'7.6 Renovation works'!P54</f>
        <v>20000</v>
      </c>
      <c r="P43" s="55"/>
      <c r="Q43" s="59" t="n">
        <f aca="false">SUM(R43)/$C43</f>
        <v>20</v>
      </c>
      <c r="R43" s="59" t="n">
        <f aca="false">'7.6 Renovation works'!U54</f>
        <v>20000</v>
      </c>
      <c r="S43" s="55"/>
      <c r="T43" s="59" t="n">
        <f aca="false">SUM(U43)/$C43</f>
        <v>20</v>
      </c>
      <c r="U43" s="59" t="n">
        <f aca="false">'7.6 Renovation works'!Z54</f>
        <v>20000</v>
      </c>
      <c r="V43" s="55"/>
      <c r="W43" s="59" t="n">
        <f aca="false">SUM(X43)/$C43</f>
        <v>30</v>
      </c>
      <c r="X43" s="59" t="n">
        <f aca="false">'7.6 Renovation works'!AE54</f>
        <v>30000</v>
      </c>
      <c r="Y43" s="55"/>
      <c r="Z43" s="59" t="n">
        <f aca="false">SUM(AA43)/$C43</f>
        <v>27.5</v>
      </c>
      <c r="AA43" s="59" t="n">
        <f aca="false">'7.6 Renovation works'!AJ54</f>
        <v>27500</v>
      </c>
      <c r="AB43" s="55"/>
      <c r="AC43" s="59" t="n">
        <f aca="false">SUM(AD43)/$C43</f>
        <v>50</v>
      </c>
      <c r="AD43" s="59" t="n">
        <f aca="false">'7.6 Renovation works'!AO54</f>
        <v>50000</v>
      </c>
      <c r="AE43" s="55"/>
      <c r="AF43" s="59" t="n">
        <f aca="false">SUM(AG43)/$C43</f>
        <v>0</v>
      </c>
      <c r="AG43" s="59"/>
      <c r="AH43" s="55"/>
      <c r="AI43" s="59"/>
      <c r="AJ43" s="59"/>
    </row>
    <row r="44" customFormat="false" ht="12.75" hidden="false" customHeight="true" outlineLevel="0" collapsed="false">
      <c r="A44" s="35" t="n">
        <v>8</v>
      </c>
      <c r="B44" s="52" t="s">
        <v>191</v>
      </c>
      <c r="C44" s="30"/>
      <c r="D44" s="30"/>
      <c r="E44" s="55"/>
      <c r="F44" s="55" t="n">
        <f aca="false">SUBTOTAL(9,F45:F49)</f>
        <v>100000</v>
      </c>
      <c r="G44" s="56"/>
      <c r="H44" s="55"/>
      <c r="I44" s="55" t="n">
        <f aca="false">SUBTOTAL(9,I45:I49)</f>
        <v>100000</v>
      </c>
      <c r="J44" s="55"/>
      <c r="K44" s="55"/>
      <c r="L44" s="55" t="n">
        <f aca="false">SUBTOTAL(9,L45:L49)</f>
        <v>100000</v>
      </c>
      <c r="M44" s="55"/>
      <c r="N44" s="55"/>
      <c r="O44" s="55" t="n">
        <f aca="false">SUBTOTAL(9,O45:O49)</f>
        <v>100000</v>
      </c>
      <c r="P44" s="55"/>
      <c r="Q44" s="55"/>
      <c r="R44" s="55" t="n">
        <v>491679</v>
      </c>
      <c r="S44" s="55"/>
      <c r="T44" s="55"/>
      <c r="U44" s="55" t="n">
        <v>491679</v>
      </c>
      <c r="V44" s="55"/>
      <c r="W44" s="55"/>
      <c r="X44" s="55" t="n">
        <v>491679</v>
      </c>
      <c r="Y44" s="55"/>
      <c r="Z44" s="55"/>
      <c r="AA44" s="55" t="n">
        <v>491679</v>
      </c>
      <c r="AB44" s="55"/>
      <c r="AC44" s="55"/>
      <c r="AD44" s="55" t="n">
        <v>491679</v>
      </c>
      <c r="AE44" s="55"/>
      <c r="AF44" s="55"/>
      <c r="AG44" s="55" t="n">
        <f aca="false">SUBTOTAL(9,AG45:AG49)</f>
        <v>0</v>
      </c>
      <c r="AH44" s="55"/>
      <c r="AI44" s="55"/>
      <c r="AJ44" s="55" t="n">
        <f aca="false">SUBTOTAL(9,AJ45:AJ49)</f>
        <v>0</v>
      </c>
    </row>
    <row r="45" customFormat="false" ht="12.75" hidden="false" customHeight="true" outlineLevel="0" collapsed="false">
      <c r="A45" s="183" t="n">
        <v>8.1</v>
      </c>
      <c r="B45" s="36" t="s">
        <v>164</v>
      </c>
      <c r="C45" s="64" t="n">
        <f aca="false">'Project Information - 3'!$C$35</f>
        <v>1000</v>
      </c>
      <c r="D45" s="6" t="s">
        <v>116</v>
      </c>
      <c r="E45" s="59" t="n">
        <f aca="false">SUM(F45)/$C45</f>
        <v>20</v>
      </c>
      <c r="F45" s="59" t="n">
        <f aca="false">'8.1 Site preparation works'!F54</f>
        <v>20000</v>
      </c>
      <c r="G45" s="56"/>
      <c r="H45" s="59" t="n">
        <f aca="false">SUM(I45)/$C45</f>
        <v>20</v>
      </c>
      <c r="I45" s="59" t="n">
        <f aca="false">AVERAGE(L45,O45,R45)</f>
        <v>20000</v>
      </c>
      <c r="J45" s="55"/>
      <c r="K45" s="59" t="n">
        <f aca="false">SUM(L45)/$C45</f>
        <v>20</v>
      </c>
      <c r="L45" s="59" t="n">
        <f aca="false">'8.1 Site preparation works'!K54</f>
        <v>20000</v>
      </c>
      <c r="M45" s="55"/>
      <c r="N45" s="59" t="n">
        <f aca="false">SUM(O45)/$C45</f>
        <v>20</v>
      </c>
      <c r="O45" s="59" t="n">
        <f aca="false">'8.1 Site preparation works'!P54</f>
        <v>20000</v>
      </c>
      <c r="P45" s="55"/>
      <c r="Q45" s="59" t="n">
        <f aca="false">SUM(R45)/$C45</f>
        <v>20</v>
      </c>
      <c r="R45" s="59" t="n">
        <f aca="false">'8.1 Site preparation works'!U54</f>
        <v>20000</v>
      </c>
      <c r="S45" s="55"/>
      <c r="T45" s="59" t="n">
        <f aca="false">SUM(U45)/$C45</f>
        <v>20</v>
      </c>
      <c r="U45" s="59" t="n">
        <f aca="false">'8.1 Site preparation works'!Z54</f>
        <v>20000</v>
      </c>
      <c r="V45" s="55"/>
      <c r="W45" s="59" t="n">
        <f aca="false">SUM(X45)/$C45</f>
        <v>30</v>
      </c>
      <c r="X45" s="59" t="n">
        <f aca="false">'8.1 Site preparation works'!AE54</f>
        <v>30000</v>
      </c>
      <c r="Y45" s="55"/>
      <c r="Z45" s="59" t="n">
        <f aca="false">SUM(AA45)/$C45</f>
        <v>27.5</v>
      </c>
      <c r="AA45" s="59" t="n">
        <f aca="false">'8.1 Site preparation works'!AJ54</f>
        <v>27500</v>
      </c>
      <c r="AB45" s="55"/>
      <c r="AC45" s="59" t="n">
        <f aca="false">SUM(AD45)/$C45</f>
        <v>50</v>
      </c>
      <c r="AD45" s="59" t="n">
        <f aca="false">'8.1 Site preparation works'!AO54</f>
        <v>50000</v>
      </c>
      <c r="AE45" s="55"/>
      <c r="AF45" s="59" t="n">
        <f aca="false">SUM(AG45)/$C45</f>
        <v>0</v>
      </c>
      <c r="AG45" s="59"/>
      <c r="AH45" s="55"/>
      <c r="AI45" s="59"/>
      <c r="AJ45" s="59"/>
    </row>
    <row r="46" customFormat="false" ht="12.75" hidden="false" customHeight="true" outlineLevel="0" collapsed="false">
      <c r="A46" s="183" t="n">
        <v>8.2</v>
      </c>
      <c r="B46" s="36" t="s">
        <v>165</v>
      </c>
      <c r="C46" s="64" t="n">
        <f aca="false">'Project Information - 3'!$C$36</f>
        <v>1000</v>
      </c>
      <c r="D46" s="6" t="s">
        <v>116</v>
      </c>
      <c r="E46" s="59" t="n">
        <f aca="false">SUM(F46)/$C46</f>
        <v>20</v>
      </c>
      <c r="F46" s="59" t="n">
        <f aca="false">'8.2 Roads paths pavings'!F54</f>
        <v>20000</v>
      </c>
      <c r="G46" s="56"/>
      <c r="H46" s="59" t="n">
        <f aca="false">SUM(I46)/$C46</f>
        <v>20</v>
      </c>
      <c r="I46" s="59" t="n">
        <f aca="false">AVERAGE(L46,O46,R46)</f>
        <v>20000</v>
      </c>
      <c r="J46" s="55"/>
      <c r="K46" s="59" t="n">
        <f aca="false">SUM(L46)/$C46</f>
        <v>20</v>
      </c>
      <c r="L46" s="59" t="n">
        <f aca="false">'8.2 Roads paths pavings'!K54</f>
        <v>20000</v>
      </c>
      <c r="M46" s="55"/>
      <c r="N46" s="59" t="n">
        <f aca="false">SUM(O46)/$C46</f>
        <v>20</v>
      </c>
      <c r="O46" s="59" t="n">
        <f aca="false">'8.2 Roads paths pavings'!P54</f>
        <v>20000</v>
      </c>
      <c r="P46" s="55"/>
      <c r="Q46" s="59" t="n">
        <f aca="false">SUM(R46)/$C46</f>
        <v>20</v>
      </c>
      <c r="R46" s="59" t="n">
        <f aca="false">'8.2 Roads paths pavings'!U54</f>
        <v>20000</v>
      </c>
      <c r="S46" s="55"/>
      <c r="T46" s="59" t="n">
        <f aca="false">SUM(U46)/$C46</f>
        <v>20</v>
      </c>
      <c r="U46" s="59" t="n">
        <f aca="false">'8.2 Roads paths pavings'!Z54</f>
        <v>20000</v>
      </c>
      <c r="V46" s="55"/>
      <c r="W46" s="59" t="n">
        <f aca="false">SUM(X46)/$C46</f>
        <v>30</v>
      </c>
      <c r="X46" s="59" t="n">
        <f aca="false">'8.2 Roads paths pavings'!AE54</f>
        <v>30000</v>
      </c>
      <c r="Y46" s="55"/>
      <c r="Z46" s="59" t="n">
        <f aca="false">SUM(AA46)/$C46</f>
        <v>27.5</v>
      </c>
      <c r="AA46" s="59" t="n">
        <f aca="false">'8.2 Roads paths pavings'!AJ54</f>
        <v>27500</v>
      </c>
      <c r="AB46" s="55"/>
      <c r="AC46" s="59" t="n">
        <f aca="false">SUM(AD46)/$C46</f>
        <v>50</v>
      </c>
      <c r="AD46" s="59" t="n">
        <f aca="false">'8.2 Roads paths pavings'!AO54</f>
        <v>50000</v>
      </c>
      <c r="AE46" s="55"/>
      <c r="AF46" s="59" t="n">
        <f aca="false">SUM(AG46)/$C46</f>
        <v>0</v>
      </c>
      <c r="AG46" s="59"/>
      <c r="AH46" s="55"/>
      <c r="AI46" s="59"/>
      <c r="AJ46" s="59"/>
    </row>
    <row r="47" customFormat="false" ht="12.75" hidden="false" customHeight="true" outlineLevel="0" collapsed="false">
      <c r="A47" s="183" t="n">
        <v>8.3</v>
      </c>
      <c r="B47" s="36" t="s">
        <v>166</v>
      </c>
      <c r="C47" s="64" t="n">
        <f aca="false">'Project Information - 3'!$C$37</f>
        <v>1000</v>
      </c>
      <c r="D47" s="6" t="s">
        <v>116</v>
      </c>
      <c r="E47" s="59" t="n">
        <f aca="false">SUM(F47)/$C47</f>
        <v>20</v>
      </c>
      <c r="F47" s="59" t="n">
        <f aca="false">'8.3 Soft landscapes planting'!F54</f>
        <v>20000</v>
      </c>
      <c r="G47" s="56"/>
      <c r="H47" s="59" t="n">
        <f aca="false">SUM(I47)/$C47</f>
        <v>20</v>
      </c>
      <c r="I47" s="59" t="n">
        <f aca="false">AVERAGE(L47,O47,R47)</f>
        <v>20000</v>
      </c>
      <c r="J47" s="55"/>
      <c r="K47" s="59" t="n">
        <f aca="false">SUM(L47)/$C47</f>
        <v>20</v>
      </c>
      <c r="L47" s="59" t="n">
        <f aca="false">'8.3 Soft landscapes planting'!K54</f>
        <v>20000</v>
      </c>
      <c r="M47" s="55"/>
      <c r="N47" s="59" t="n">
        <f aca="false">SUM(O47)/$C47</f>
        <v>20</v>
      </c>
      <c r="O47" s="59" t="n">
        <f aca="false">'8.3 Soft landscapes planting'!P54</f>
        <v>20000</v>
      </c>
      <c r="P47" s="55"/>
      <c r="Q47" s="59" t="n">
        <f aca="false">SUM(R47)/$C47</f>
        <v>20</v>
      </c>
      <c r="R47" s="59" t="n">
        <f aca="false">'8.3 Soft landscapes planting'!U54</f>
        <v>20000</v>
      </c>
      <c r="S47" s="55"/>
      <c r="T47" s="59" t="n">
        <f aca="false">SUM(U47)/$C47</f>
        <v>20</v>
      </c>
      <c r="U47" s="59" t="n">
        <f aca="false">'8.3 Soft landscapes planting'!Z54</f>
        <v>20000</v>
      </c>
      <c r="V47" s="55"/>
      <c r="W47" s="59" t="n">
        <f aca="false">SUM(X47)/$C47</f>
        <v>30</v>
      </c>
      <c r="X47" s="59" t="n">
        <f aca="false">'8.3 Soft landscapes planting'!AE54</f>
        <v>30000</v>
      </c>
      <c r="Y47" s="55"/>
      <c r="Z47" s="59" t="n">
        <f aca="false">SUM(AA47)/$C47</f>
        <v>27.5</v>
      </c>
      <c r="AA47" s="59" t="n">
        <f aca="false">'8.3 Soft landscapes planting'!AJ54</f>
        <v>27500</v>
      </c>
      <c r="AB47" s="55"/>
      <c r="AC47" s="59" t="n">
        <f aca="false">SUM(AD47)/$C47</f>
        <v>50</v>
      </c>
      <c r="AD47" s="59" t="n">
        <f aca="false">'8.3 Soft landscapes planting'!AO54</f>
        <v>50000</v>
      </c>
      <c r="AE47" s="55"/>
      <c r="AF47" s="59" t="n">
        <f aca="false">SUM(AG47)/$C47</f>
        <v>0</v>
      </c>
      <c r="AG47" s="59"/>
      <c r="AH47" s="55"/>
      <c r="AI47" s="59"/>
      <c r="AJ47" s="59"/>
    </row>
    <row r="48" customFormat="false" ht="12.75" hidden="false" customHeight="true" outlineLevel="0" collapsed="false">
      <c r="A48" s="183" t="n">
        <v>8.4</v>
      </c>
      <c r="B48" s="36" t="s">
        <v>167</v>
      </c>
      <c r="C48" s="64" t="n">
        <f aca="false">'Project Information - 3'!$C$38</f>
        <v>1000</v>
      </c>
      <c r="D48" s="6" t="s">
        <v>116</v>
      </c>
      <c r="E48" s="59" t="n">
        <f aca="false">SUM(F48)/$C48</f>
        <v>20</v>
      </c>
      <c r="F48" s="59" t="n">
        <f aca="false">'8.4 Fencing railings &amp; walls'!F54</f>
        <v>20000</v>
      </c>
      <c r="G48" s="56"/>
      <c r="H48" s="59" t="n">
        <f aca="false">SUM(I48)/$C48</f>
        <v>20</v>
      </c>
      <c r="I48" s="59" t="n">
        <f aca="false">AVERAGE(L48,O48,R48)</f>
        <v>20000</v>
      </c>
      <c r="J48" s="55"/>
      <c r="K48" s="59" t="n">
        <f aca="false">SUM(L48)/$C48</f>
        <v>20</v>
      </c>
      <c r="L48" s="59" t="n">
        <f aca="false">'8.4 Fencing railings &amp; walls'!K54</f>
        <v>20000</v>
      </c>
      <c r="M48" s="55"/>
      <c r="N48" s="59" t="n">
        <f aca="false">SUM(O48)/$C48</f>
        <v>20</v>
      </c>
      <c r="O48" s="59" t="n">
        <f aca="false">'8.4 Fencing railings &amp; walls'!P54</f>
        <v>20000</v>
      </c>
      <c r="P48" s="55"/>
      <c r="Q48" s="59" t="n">
        <f aca="false">SUM(R48)/$C48</f>
        <v>20</v>
      </c>
      <c r="R48" s="59" t="n">
        <f aca="false">'8.4 Fencing railings &amp; walls'!U54</f>
        <v>20000</v>
      </c>
      <c r="S48" s="55"/>
      <c r="T48" s="59" t="n">
        <f aca="false">SUM(U48)/$C48</f>
        <v>20</v>
      </c>
      <c r="U48" s="59" t="n">
        <f aca="false">'8.4 Fencing railings &amp; walls'!Z54</f>
        <v>20000</v>
      </c>
      <c r="V48" s="55"/>
      <c r="W48" s="59" t="n">
        <f aca="false">SUM(X48)/$C48</f>
        <v>30</v>
      </c>
      <c r="X48" s="59" t="n">
        <f aca="false">'8.4 Fencing railings &amp; walls'!AE54</f>
        <v>30000</v>
      </c>
      <c r="Y48" s="55"/>
      <c r="Z48" s="59" t="n">
        <f aca="false">SUM(AA48)/$C48</f>
        <v>27.5</v>
      </c>
      <c r="AA48" s="59" t="n">
        <f aca="false">'8.4 Fencing railings &amp; walls'!AJ54</f>
        <v>27500</v>
      </c>
      <c r="AB48" s="55"/>
      <c r="AC48" s="59" t="n">
        <f aca="false">SUM(AD48)/$C48</f>
        <v>50</v>
      </c>
      <c r="AD48" s="59" t="n">
        <f aca="false">'8.4 Fencing railings &amp; walls'!AO54</f>
        <v>50000</v>
      </c>
      <c r="AE48" s="55"/>
      <c r="AF48" s="59" t="n">
        <f aca="false">SUM(AG48)/$C48</f>
        <v>0</v>
      </c>
      <c r="AG48" s="59"/>
      <c r="AH48" s="55"/>
      <c r="AI48" s="59"/>
      <c r="AJ48" s="59"/>
    </row>
    <row r="49" customFormat="false" ht="12.75" hidden="false" customHeight="true" outlineLevel="0" collapsed="false">
      <c r="A49" s="183" t="n">
        <v>8.5</v>
      </c>
      <c r="B49" s="36" t="s">
        <v>168</v>
      </c>
      <c r="C49" s="64" t="n">
        <f aca="false">'Project Information - 3'!$C$39</f>
        <v>1000</v>
      </c>
      <c r="D49" s="6" t="s">
        <v>116</v>
      </c>
      <c r="E49" s="59" t="n">
        <f aca="false">SUM(F49)/$C49</f>
        <v>20</v>
      </c>
      <c r="F49" s="59" t="n">
        <f aca="false">'8.5 External fixtures'!F54</f>
        <v>20000</v>
      </c>
      <c r="G49" s="56"/>
      <c r="H49" s="59" t="n">
        <f aca="false">SUM(I49)/$C49</f>
        <v>20</v>
      </c>
      <c r="I49" s="59" t="n">
        <f aca="false">AVERAGE(L49,O49,R49)</f>
        <v>20000</v>
      </c>
      <c r="J49" s="55"/>
      <c r="K49" s="59" t="n">
        <f aca="false">SUM(L49)/$C49</f>
        <v>20</v>
      </c>
      <c r="L49" s="59" t="n">
        <f aca="false">'8.5 External fixtures'!K54</f>
        <v>20000</v>
      </c>
      <c r="M49" s="55"/>
      <c r="N49" s="59" t="n">
        <f aca="false">SUM(O49)/$C49</f>
        <v>20</v>
      </c>
      <c r="O49" s="59" t="n">
        <f aca="false">'8.5 External fixtures'!P54</f>
        <v>20000</v>
      </c>
      <c r="P49" s="55"/>
      <c r="Q49" s="59" t="n">
        <f aca="false">SUM(R49)/$C49</f>
        <v>20</v>
      </c>
      <c r="R49" s="59" t="n">
        <f aca="false">'8.5 External fixtures'!U54</f>
        <v>20000</v>
      </c>
      <c r="S49" s="55"/>
      <c r="T49" s="59" t="n">
        <f aca="false">SUM(U49)/$C49</f>
        <v>20</v>
      </c>
      <c r="U49" s="59" t="n">
        <f aca="false">'8.5 External fixtures'!Z54</f>
        <v>20000</v>
      </c>
      <c r="V49" s="55"/>
      <c r="W49" s="59" t="n">
        <f aca="false">SUM(X49)/$C49</f>
        <v>30</v>
      </c>
      <c r="X49" s="59" t="n">
        <f aca="false">'8.5 External fixtures'!AE54</f>
        <v>30000</v>
      </c>
      <c r="Y49" s="55"/>
      <c r="Z49" s="59" t="n">
        <f aca="false">SUM(AA49)/$C49</f>
        <v>27.5</v>
      </c>
      <c r="AA49" s="59" t="n">
        <f aca="false">'8.5 External fixtures'!AJ54</f>
        <v>27500</v>
      </c>
      <c r="AB49" s="55"/>
      <c r="AC49" s="59" t="n">
        <f aca="false">SUM(AD49)/$C49</f>
        <v>50</v>
      </c>
      <c r="AD49" s="59" t="n">
        <f aca="false">'8.5 External fixtures'!AO54</f>
        <v>50000</v>
      </c>
      <c r="AE49" s="55"/>
      <c r="AF49" s="59" t="n">
        <f aca="false">SUM(AG49)/$C49</f>
        <v>0</v>
      </c>
      <c r="AG49" s="59"/>
      <c r="AH49" s="55"/>
      <c r="AI49" s="59"/>
      <c r="AJ49" s="59"/>
    </row>
    <row r="50" customFormat="false" ht="12.75" hidden="false" customHeight="true" outlineLevel="0" collapsed="false">
      <c r="A50" s="183" t="n">
        <v>8.6</v>
      </c>
      <c r="B50" s="36" t="s">
        <v>169</v>
      </c>
      <c r="C50" s="64" t="n">
        <f aca="false">'Project Information - 3'!$C$40</f>
        <v>1000</v>
      </c>
      <c r="D50" s="6" t="s">
        <v>116</v>
      </c>
      <c r="E50" s="59" t="n">
        <f aca="false">SUM(F50)/$C50</f>
        <v>20</v>
      </c>
      <c r="F50" s="59" t="n">
        <f aca="false">'8.6 External drainage'!F54</f>
        <v>20000</v>
      </c>
      <c r="G50" s="56"/>
      <c r="H50" s="59" t="n">
        <f aca="false">SUM(I50)/$C50</f>
        <v>20</v>
      </c>
      <c r="I50" s="59" t="n">
        <f aca="false">AVERAGE(L50,O50,R50)</f>
        <v>20000</v>
      </c>
      <c r="J50" s="55"/>
      <c r="K50" s="59" t="n">
        <f aca="false">SUM(L50)/$C50</f>
        <v>20</v>
      </c>
      <c r="L50" s="59" t="n">
        <f aca="false">'8.6 External drainage'!K54</f>
        <v>20000</v>
      </c>
      <c r="M50" s="55"/>
      <c r="N50" s="59" t="n">
        <f aca="false">SUM(O50)/$C50</f>
        <v>20</v>
      </c>
      <c r="O50" s="59" t="n">
        <f aca="false">'8.6 External drainage'!U54</f>
        <v>20000</v>
      </c>
      <c r="P50" s="55"/>
      <c r="Q50" s="59" t="n">
        <f aca="false">SUM(R50)/$C50</f>
        <v>20</v>
      </c>
      <c r="R50" s="59" t="n">
        <f aca="false">'8.6 External drainage'!U54</f>
        <v>20000</v>
      </c>
      <c r="S50" s="55"/>
      <c r="T50" s="59" t="n">
        <f aca="false">SUM(U50)/$C50</f>
        <v>20</v>
      </c>
      <c r="U50" s="59" t="n">
        <f aca="false">'8.6 External drainage'!Z54</f>
        <v>20000</v>
      </c>
      <c r="V50" s="55"/>
      <c r="W50" s="59" t="n">
        <f aca="false">SUM(X50)/$C50</f>
        <v>30</v>
      </c>
      <c r="X50" s="59" t="n">
        <f aca="false">'8.6 External drainage'!AE54</f>
        <v>30000</v>
      </c>
      <c r="Y50" s="55"/>
      <c r="Z50" s="59" t="n">
        <f aca="false">SUM(AA50)/$C50</f>
        <v>27.5</v>
      </c>
      <c r="AA50" s="59" t="n">
        <f aca="false">'8.6 External drainage'!AJ54</f>
        <v>27500</v>
      </c>
      <c r="AB50" s="55"/>
      <c r="AC50" s="59" t="n">
        <f aca="false">SUM(AD50)/$C50</f>
        <v>50</v>
      </c>
      <c r="AD50" s="59" t="n">
        <f aca="false">'8.6 External drainage'!AO54</f>
        <v>50000</v>
      </c>
      <c r="AE50" s="55"/>
      <c r="AF50" s="59" t="n">
        <f aca="false">SUM(AG50)/$C50</f>
        <v>0</v>
      </c>
      <c r="AG50" s="59"/>
      <c r="AH50" s="55"/>
      <c r="AI50" s="59"/>
      <c r="AJ50" s="59"/>
    </row>
    <row r="51" customFormat="false" ht="12.75" hidden="false" customHeight="true" outlineLevel="0" collapsed="false">
      <c r="A51" s="183" t="n">
        <v>8.7</v>
      </c>
      <c r="B51" s="36" t="s">
        <v>170</v>
      </c>
      <c r="C51" s="64" t="n">
        <f aca="false">'Project Information - 3'!$C$41</f>
        <v>1000</v>
      </c>
      <c r="D51" s="6" t="s">
        <v>116</v>
      </c>
      <c r="E51" s="59" t="n">
        <f aca="false">SUM(F51)/$C51</f>
        <v>20</v>
      </c>
      <c r="F51" s="59" t="n">
        <f aca="false">'8.7 External services'!F54</f>
        <v>20000</v>
      </c>
      <c r="G51" s="56"/>
      <c r="H51" s="59" t="n">
        <f aca="false">SUM(I51)/$C51</f>
        <v>20</v>
      </c>
      <c r="I51" s="59" t="n">
        <f aca="false">AVERAGE(L51,O51,R51)</f>
        <v>20000</v>
      </c>
      <c r="J51" s="55"/>
      <c r="K51" s="59" t="n">
        <f aca="false">SUM(L51)/$C51</f>
        <v>20</v>
      </c>
      <c r="L51" s="59" t="n">
        <f aca="false">'8.7 External services'!K54</f>
        <v>20000</v>
      </c>
      <c r="M51" s="55"/>
      <c r="N51" s="59" t="n">
        <f aca="false">SUM(O51)/$C51</f>
        <v>20</v>
      </c>
      <c r="O51" s="59" t="n">
        <f aca="false">'8.7 External services'!P54</f>
        <v>20000</v>
      </c>
      <c r="P51" s="55"/>
      <c r="Q51" s="59" t="n">
        <f aca="false">SUM(R51)/$C51</f>
        <v>20</v>
      </c>
      <c r="R51" s="59" t="n">
        <f aca="false">'8.7 External services'!U54</f>
        <v>20000</v>
      </c>
      <c r="S51" s="55"/>
      <c r="T51" s="59" t="n">
        <f aca="false">SUM(U51)/$C51</f>
        <v>20</v>
      </c>
      <c r="U51" s="59" t="n">
        <f aca="false">'8.7 External services'!Z54</f>
        <v>20000</v>
      </c>
      <c r="V51" s="55"/>
      <c r="W51" s="59" t="n">
        <f aca="false">SUM(X51)/$C51</f>
        <v>30</v>
      </c>
      <c r="X51" s="59" t="n">
        <f aca="false">'8.7 External services'!AE54</f>
        <v>30000</v>
      </c>
      <c r="Y51" s="55"/>
      <c r="Z51" s="59" t="n">
        <f aca="false">SUM(AA51)/$C51</f>
        <v>27.5</v>
      </c>
      <c r="AA51" s="59" t="n">
        <f aca="false">'8.7 External services'!AJ54</f>
        <v>27500</v>
      </c>
      <c r="AB51" s="55"/>
      <c r="AC51" s="59" t="n">
        <f aca="false">SUM(AD51)/$C51</f>
        <v>50</v>
      </c>
      <c r="AD51" s="59" t="n">
        <f aca="false">'8.7 External services'!AO54</f>
        <v>50000</v>
      </c>
      <c r="AE51" s="55"/>
      <c r="AF51" s="59" t="n">
        <f aca="false">SUM(AG51)/$C51</f>
        <v>0</v>
      </c>
      <c r="AG51" s="59"/>
      <c r="AH51" s="55"/>
      <c r="AI51" s="59"/>
      <c r="AJ51" s="59"/>
    </row>
    <row r="52" customFormat="false" ht="12.75" hidden="false" customHeight="true" outlineLevel="0" collapsed="false">
      <c r="A52" s="183" t="n">
        <v>8.8</v>
      </c>
      <c r="B52" s="36" t="s">
        <v>171</v>
      </c>
      <c r="C52" s="64" t="n">
        <f aca="false">'Project Information - 3'!$C$42</f>
        <v>1000</v>
      </c>
      <c r="D52" s="6" t="s">
        <v>116</v>
      </c>
      <c r="E52" s="59" t="n">
        <f aca="false">SUM(F52)/$C52</f>
        <v>20</v>
      </c>
      <c r="F52" s="59" t="n">
        <f aca="false">'8.8 Minor building &amp; ancillary'!F54</f>
        <v>20000</v>
      </c>
      <c r="G52" s="56"/>
      <c r="H52" s="59" t="n">
        <f aca="false">SUM(I52)/$C52</f>
        <v>20</v>
      </c>
      <c r="I52" s="59" t="n">
        <f aca="false">AVERAGE(L52,O52,R52)</f>
        <v>20000</v>
      </c>
      <c r="J52" s="55"/>
      <c r="K52" s="59" t="n">
        <f aca="false">SUM(L52)/$C52</f>
        <v>20</v>
      </c>
      <c r="L52" s="59" t="n">
        <f aca="false">'8.8 Minor building &amp; ancillary'!K54</f>
        <v>20000</v>
      </c>
      <c r="M52" s="55"/>
      <c r="N52" s="59" t="n">
        <f aca="false">SUM(O52)/$C52</f>
        <v>20</v>
      </c>
      <c r="O52" s="59" t="n">
        <f aca="false">'8.8 Minor building &amp; ancillary'!P54</f>
        <v>20000</v>
      </c>
      <c r="P52" s="55"/>
      <c r="Q52" s="59" t="n">
        <f aca="false">SUM(R52)/$C52</f>
        <v>20</v>
      </c>
      <c r="R52" s="59" t="n">
        <f aca="false">'8.8 Minor building &amp; ancillary'!U54</f>
        <v>20000</v>
      </c>
      <c r="S52" s="55"/>
      <c r="T52" s="59" t="n">
        <f aca="false">SUM(U52)/$C52</f>
        <v>20</v>
      </c>
      <c r="U52" s="59" t="n">
        <f aca="false">'8.8 Minor building &amp; ancillary'!Z54</f>
        <v>20000</v>
      </c>
      <c r="V52" s="55"/>
      <c r="W52" s="59" t="n">
        <f aca="false">SUM(X52)/$C52</f>
        <v>30</v>
      </c>
      <c r="X52" s="59" t="n">
        <f aca="false">'8.8 Minor building &amp; ancillary'!AE54</f>
        <v>30000</v>
      </c>
      <c r="Y52" s="55"/>
      <c r="Z52" s="59" t="n">
        <f aca="false">SUM(AA52)/$C52</f>
        <v>27.5</v>
      </c>
      <c r="AA52" s="59" t="n">
        <f aca="false">'8.8 Minor building &amp; ancillary'!AJ54</f>
        <v>27500</v>
      </c>
      <c r="AB52" s="55"/>
      <c r="AC52" s="59" t="n">
        <f aca="false">SUM(AD52)/$C52</f>
        <v>50</v>
      </c>
      <c r="AD52" s="59" t="n">
        <f aca="false">'8.8 Minor building &amp; ancillary'!AO54</f>
        <v>50000</v>
      </c>
      <c r="AE52" s="55"/>
      <c r="AF52" s="59" t="n">
        <f aca="false">SUM(AG52)/$C52</f>
        <v>0</v>
      </c>
      <c r="AG52" s="59"/>
      <c r="AH52" s="55"/>
      <c r="AI52" s="59"/>
      <c r="AJ52" s="59"/>
    </row>
    <row r="53" customFormat="false" ht="12.75" hidden="false" customHeight="true" outlineLevel="0" collapsed="false">
      <c r="A53" s="65"/>
      <c r="B53" s="36"/>
      <c r="C53" s="64"/>
      <c r="E53" s="59"/>
      <c r="F53" s="59"/>
      <c r="G53" s="56"/>
      <c r="H53" s="59"/>
      <c r="I53" s="59"/>
      <c r="J53" s="55"/>
      <c r="K53" s="59"/>
      <c r="L53" s="59"/>
      <c r="M53" s="55"/>
      <c r="N53" s="59"/>
      <c r="O53" s="59"/>
      <c r="P53" s="55"/>
      <c r="Q53" s="59"/>
      <c r="R53" s="59"/>
      <c r="S53" s="55"/>
      <c r="T53" s="59"/>
      <c r="U53" s="59"/>
      <c r="V53" s="55"/>
      <c r="W53" s="59"/>
      <c r="X53" s="59"/>
      <c r="Y53" s="55"/>
      <c r="Z53" s="59"/>
      <c r="AA53" s="59"/>
      <c r="AB53" s="55"/>
      <c r="AC53" s="59"/>
      <c r="AD53" s="59"/>
      <c r="AE53" s="55"/>
      <c r="AF53" s="59"/>
      <c r="AG53" s="59"/>
      <c r="AH53" s="55"/>
      <c r="AI53" s="59"/>
      <c r="AJ53" s="59"/>
    </row>
    <row r="54" customFormat="false" ht="12.75" hidden="false" customHeight="true" outlineLevel="0" collapsed="false">
      <c r="A54" s="66"/>
      <c r="B54" s="52" t="s">
        <v>192</v>
      </c>
      <c r="C54" s="30"/>
      <c r="D54" s="11"/>
      <c r="E54" s="55" t="n">
        <f aca="false">SUM(F54)/'Project Information - 2'!$B$2</f>
        <v>2511.45504495504</v>
      </c>
      <c r="F54" s="55" t="n">
        <f aca="false">F5+F7+F9+F18+F24+F44</f>
        <v>2513966.5</v>
      </c>
      <c r="G54" s="56"/>
      <c r="H54" s="55" t="n">
        <f aca="false">SUM(I54)/'Project Information - 2'!$B$2</f>
        <v>2371.15151515152</v>
      </c>
      <c r="I54" s="55" t="n">
        <f aca="false">I5+I7+I9+I18+I24+I44</f>
        <v>2373522.66666667</v>
      </c>
      <c r="J54" s="55"/>
      <c r="K54" s="55" t="n">
        <f aca="false">SUM(L54)/'Project Information - 2'!$B$2</f>
        <v>2438.26023976024</v>
      </c>
      <c r="L54" s="55" t="n">
        <f aca="false">L5+L7+L9+L18+L24+L44</f>
        <v>2440698.5</v>
      </c>
      <c r="M54" s="55"/>
      <c r="N54" s="55" t="n">
        <f aca="false">SUM(O54)/'Project Information - 2'!$B$2</f>
        <v>2396.03996003996</v>
      </c>
      <c r="O54" s="55" t="n">
        <f aca="false">O5+O7+O9+O18+O24+O44</f>
        <v>2398436</v>
      </c>
      <c r="P54" s="55"/>
      <c r="Q54" s="55" t="n">
        <f aca="false">SUM(R54)/'Project Information - 2'!$B$2</f>
        <v>3053.30819180819</v>
      </c>
      <c r="R54" s="55" t="n">
        <f aca="false">R5+R7+R9+R18+R24+R44</f>
        <v>3056361.5</v>
      </c>
      <c r="S54" s="55"/>
      <c r="T54" s="55" t="n">
        <f aca="false">SUM(U54)/'Project Information - 2'!$B$2</f>
        <v>1180.62887112887</v>
      </c>
      <c r="U54" s="55" t="n">
        <f aca="false">U5+U7+U9+U18+U24+U44</f>
        <v>1181809.5</v>
      </c>
      <c r="V54" s="55"/>
      <c r="W54" s="55" t="n">
        <f aca="false">SUM(X54)/'Project Information - 2'!$B$2</f>
        <v>982.375624375624</v>
      </c>
      <c r="X54" s="55" t="n">
        <f aca="false">X5+X7+X9+X18+X24+X44</f>
        <v>983358</v>
      </c>
      <c r="Y54" s="55"/>
      <c r="Z54" s="55" t="n">
        <f aca="false">SUM(AA54)/'Project Information - 2'!$B$2</f>
        <v>982.375624375624</v>
      </c>
      <c r="AA54" s="55" t="n">
        <f aca="false">AA5+AA7+AA9+AA18+AA24+AA44</f>
        <v>983358</v>
      </c>
      <c r="AB54" s="55"/>
      <c r="AC54" s="55" t="n">
        <f aca="false">SUM(AD54)/'Project Information - 2'!$B$2</f>
        <v>982.375624375624</v>
      </c>
      <c r="AD54" s="55" t="n">
        <f aca="false">AD5+AD7+AD9+AD18+AD24+AD44</f>
        <v>983358</v>
      </c>
      <c r="AE54" s="55"/>
      <c r="AF54" s="55" t="n">
        <f aca="false">SUM(AG54)/'Project Information - 2'!$B$2</f>
        <v>0</v>
      </c>
      <c r="AG54" s="55" t="n">
        <f aca="false">AG5+AG7+AG9+AG18+AG24+AG44</f>
        <v>0</v>
      </c>
      <c r="AH54" s="55"/>
      <c r="AI54" s="55" t="n">
        <f aca="false">SUM(AJ54)/'Project Information - 2'!$B$2</f>
        <v>0</v>
      </c>
      <c r="AJ54" s="55" t="n">
        <f aca="false">AJ5+AJ7+AJ9+AJ18+AJ24+AJ44</f>
        <v>0</v>
      </c>
    </row>
    <row r="55" customFormat="false" ht="12.75" hidden="false" customHeight="true" outlineLevel="0" collapsed="false">
      <c r="A55" s="67" t="n">
        <v>9</v>
      </c>
      <c r="B55" s="6" t="s">
        <v>193</v>
      </c>
      <c r="E55" s="68" t="n">
        <f aca="false">F55/F54</f>
        <v>0.00795555549367901</v>
      </c>
      <c r="F55" s="59" t="n">
        <f aca="false">'9.0 Contractor''s preliminaries'!F54</f>
        <v>20000</v>
      </c>
      <c r="G55" s="56"/>
      <c r="H55" s="68" t="n">
        <f aca="false">I55/I54</f>
        <v>0.00842629408215749</v>
      </c>
      <c r="I55" s="59" t="n">
        <f aca="false">AVERAGE(L55,O55,R55)</f>
        <v>20000</v>
      </c>
      <c r="J55" s="55"/>
      <c r="K55" s="68" t="n">
        <f aca="false">L55/L54</f>
        <v>0.00819437550356998</v>
      </c>
      <c r="L55" s="59" t="n">
        <f aca="false">'9.0 Contractor''s preliminaries'!K54</f>
        <v>20000</v>
      </c>
      <c r="M55" s="55"/>
      <c r="N55" s="68" t="n">
        <f aca="false">O55/O54</f>
        <v>0.00833876743010862</v>
      </c>
      <c r="O55" s="59" t="n">
        <f aca="false">'9.0 Contractor''s preliminaries'!P54</f>
        <v>20000</v>
      </c>
      <c r="P55" s="55"/>
      <c r="Q55" s="68" t="n">
        <f aca="false">R55/R54</f>
        <v>0.0065437285478174</v>
      </c>
      <c r="R55" s="59" t="n">
        <f aca="false">'10.0 Contractor''s overheads'!U54</f>
        <v>20000</v>
      </c>
      <c r="S55" s="55"/>
      <c r="T55" s="68" t="n">
        <f aca="false">U55/U54</f>
        <v>0.0169232012435168</v>
      </c>
      <c r="U55" s="59" t="n">
        <f aca="false">'9.0 Contractor''s preliminaries'!Z54</f>
        <v>20000</v>
      </c>
      <c r="V55" s="55"/>
      <c r="W55" s="68" t="n">
        <f aca="false">X55/X54</f>
        <v>0.0305077092981396</v>
      </c>
      <c r="X55" s="59" t="n">
        <f aca="false">'9.0 Contractor''s preliminaries'!AE54</f>
        <v>30000</v>
      </c>
      <c r="Y55" s="55"/>
      <c r="Z55" s="68" t="n">
        <f aca="false">AA55/AA54</f>
        <v>0.0279654001899613</v>
      </c>
      <c r="AA55" s="59" t="n">
        <f aca="false">'9.0 Contractor''s preliminaries'!AJ54</f>
        <v>27500</v>
      </c>
      <c r="AB55" s="55"/>
      <c r="AC55" s="68" t="n">
        <f aca="false">AD55/AD54</f>
        <v>0.0508461821635661</v>
      </c>
      <c r="AD55" s="59" t="n">
        <f aca="false">'9.0 Contractor''s preliminaries'!AO54</f>
        <v>50000</v>
      </c>
      <c r="AE55" s="55"/>
      <c r="AF55" s="68" t="e">
        <f aca="false">AG55/AG54</f>
        <v>#DIV/0!</v>
      </c>
      <c r="AG55" s="59" t="n">
        <f aca="false">5273075.5+342469.52+20000+120000-12000</f>
        <v>5743545.02</v>
      </c>
      <c r="AH55" s="55"/>
      <c r="AI55" s="68" t="e">
        <f aca="false">AJ55/AJ54</f>
        <v>#DIV/0!</v>
      </c>
      <c r="AJ55" s="59" t="n">
        <f aca="false">3749000+287000</f>
        <v>4036000</v>
      </c>
    </row>
    <row r="56" s="51" customFormat="true" ht="12.75" hidden="false" customHeight="true" outlineLevel="0" collapsed="false">
      <c r="A56" s="69" t="n">
        <v>10</v>
      </c>
      <c r="B56" s="70" t="s">
        <v>194</v>
      </c>
      <c r="C56" s="71"/>
      <c r="D56" s="70"/>
      <c r="E56" s="68" t="n">
        <f aca="false">F56/$F$54</f>
        <v>0.00795555549367901</v>
      </c>
      <c r="F56" s="59" t="n">
        <f aca="false">'10.0 Contractor''s overheads'!F54</f>
        <v>20000</v>
      </c>
      <c r="G56" s="56"/>
      <c r="H56" s="68" t="n">
        <f aca="false">I56/$F$54</f>
        <v>0.00795555549367901</v>
      </c>
      <c r="I56" s="59" t="n">
        <f aca="false">AVERAGE(L56,O56,R56)</f>
        <v>20000</v>
      </c>
      <c r="J56" s="55"/>
      <c r="K56" s="68" t="n">
        <f aca="false">L56/$F$54</f>
        <v>0.00795555549367901</v>
      </c>
      <c r="L56" s="59" t="n">
        <f aca="false">'10.0 Contractor''s overheads'!K54</f>
        <v>20000</v>
      </c>
      <c r="M56" s="55"/>
      <c r="N56" s="68" t="n">
        <f aca="false">O56/$F$54</f>
        <v>0.00795555549367901</v>
      </c>
      <c r="O56" s="59" t="n">
        <f aca="false">'10.0 Contractor''s overheads'!P54</f>
        <v>20000</v>
      </c>
      <c r="P56" s="55"/>
      <c r="Q56" s="68" t="n">
        <f aca="false">R56/$F$54</f>
        <v>0.00795555549367901</v>
      </c>
      <c r="R56" s="59" t="n">
        <f aca="false">'10.0 Contractor''s overheads'!U54</f>
        <v>20000</v>
      </c>
      <c r="S56" s="55"/>
      <c r="T56" s="68" t="n">
        <f aca="false">U56/$F$54</f>
        <v>0.00795555549367901</v>
      </c>
      <c r="U56" s="59" t="n">
        <f aca="false">'10.0 Contractor''s overheads'!Z54</f>
        <v>20000</v>
      </c>
      <c r="V56" s="55"/>
      <c r="W56" s="68" t="n">
        <f aca="false">X56/$F$54</f>
        <v>0.0119333332405185</v>
      </c>
      <c r="X56" s="59" t="n">
        <f aca="false">'10.0 Contractor''s overheads'!AE54</f>
        <v>30000</v>
      </c>
      <c r="Y56" s="55"/>
      <c r="Z56" s="68" t="n">
        <f aca="false">AA56/$F$54</f>
        <v>0.0109388888038086</v>
      </c>
      <c r="AA56" s="59" t="n">
        <f aca="false">'10.0 Contractor''s overheads'!AJ54</f>
        <v>27500</v>
      </c>
      <c r="AB56" s="55"/>
      <c r="AC56" s="68" t="n">
        <f aca="false">AD56/$F$54</f>
        <v>0.0198888887341975</v>
      </c>
      <c r="AD56" s="59" t="n">
        <f aca="false">'10.0 Contractor''s overheads'!AO54</f>
        <v>50000</v>
      </c>
      <c r="AE56" s="55"/>
      <c r="AF56" s="68" t="n">
        <f aca="false">AG56/$F$54</f>
        <v>0.838339946057356</v>
      </c>
      <c r="AG56" s="59" t="n">
        <v>2107558.54</v>
      </c>
      <c r="AH56" s="55"/>
      <c r="AI56" s="68" t="n">
        <f aca="false">AJ56/$F$54</f>
        <v>0.527453329230919</v>
      </c>
      <c r="AJ56" s="59" t="n">
        <v>1326000</v>
      </c>
      <c r="AL56" s="72" t="n">
        <f aca="false">AG56/SUM(AG54:AG55)</f>
        <v>0.366943853083962</v>
      </c>
    </row>
    <row r="57" s="51" customFormat="true" ht="12.75" hidden="false" customHeight="true" outlineLevel="0" collapsed="false">
      <c r="A57" s="65"/>
      <c r="B57" s="70"/>
      <c r="C57" s="71"/>
      <c r="D57" s="70"/>
      <c r="E57" s="73"/>
      <c r="F57" s="59"/>
      <c r="G57" s="56"/>
      <c r="H57" s="73"/>
      <c r="I57" s="59"/>
      <c r="J57" s="55"/>
      <c r="K57" s="73"/>
      <c r="L57" s="59"/>
      <c r="M57" s="55"/>
      <c r="N57" s="73"/>
      <c r="O57" s="59"/>
      <c r="P57" s="55"/>
      <c r="Q57" s="73"/>
      <c r="R57" s="59"/>
      <c r="S57" s="55"/>
      <c r="T57" s="73"/>
      <c r="U57" s="59"/>
      <c r="V57" s="55"/>
      <c r="W57" s="73"/>
      <c r="X57" s="59"/>
      <c r="Y57" s="55"/>
      <c r="Z57" s="73"/>
      <c r="AA57" s="59"/>
      <c r="AB57" s="55"/>
      <c r="AC57" s="73"/>
      <c r="AD57" s="59"/>
      <c r="AE57" s="55"/>
      <c r="AF57" s="73"/>
      <c r="AG57" s="59"/>
      <c r="AH57" s="55"/>
      <c r="AI57" s="73"/>
      <c r="AJ57" s="59"/>
      <c r="AL57" s="72"/>
    </row>
    <row r="58" customFormat="false" ht="12.75" hidden="false" customHeight="true" outlineLevel="0" collapsed="false">
      <c r="A58" s="66"/>
      <c r="B58" s="52" t="s">
        <v>195</v>
      </c>
      <c r="C58" s="30"/>
      <c r="D58" s="11"/>
      <c r="E58" s="55" t="n">
        <f aca="false">SUM(F58)/'Project Information - 2'!$B$2</f>
        <v>2551.41508491509</v>
      </c>
      <c r="F58" s="55" t="n">
        <f aca="false">SUM(F54:F56)</f>
        <v>2553966.5</v>
      </c>
      <c r="G58" s="56"/>
      <c r="H58" s="55" t="n">
        <f aca="false">SUM(I58)/'Project Information - 2'!$B$2</f>
        <v>2411.11155511156</v>
      </c>
      <c r="I58" s="55" t="n">
        <f aca="false">SUM(I54:I56)</f>
        <v>2413522.66666667</v>
      </c>
      <c r="J58" s="55"/>
      <c r="K58" s="55" t="n">
        <f aca="false">SUM(L58)/'Project Information - 2'!$B$2</f>
        <v>2478.22027972028</v>
      </c>
      <c r="L58" s="55" t="n">
        <f aca="false">SUM(L54:L56)</f>
        <v>2480698.5</v>
      </c>
      <c r="M58" s="55"/>
      <c r="N58" s="55" t="n">
        <f aca="false">SUM(O58)/'Project Information - 2'!$B$2</f>
        <v>2436</v>
      </c>
      <c r="O58" s="55" t="n">
        <f aca="false">SUM(O54:O56)</f>
        <v>2438436</v>
      </c>
      <c r="P58" s="55"/>
      <c r="Q58" s="55" t="n">
        <f aca="false">SUM(R58)/'Project Information - 2'!$B$2</f>
        <v>3093.26823176823</v>
      </c>
      <c r="R58" s="55" t="n">
        <f aca="false">SUM(R54:R56)</f>
        <v>3096361.5</v>
      </c>
      <c r="S58" s="55"/>
      <c r="T58" s="55" t="n">
        <f aca="false">SUM(U58)/'Project Information - 2'!$B$2</f>
        <v>1220.58891108891</v>
      </c>
      <c r="U58" s="55" t="n">
        <f aca="false">SUM(U54:U56)</f>
        <v>1221809.5</v>
      </c>
      <c r="V58" s="55"/>
      <c r="W58" s="55" t="n">
        <f aca="false">SUM(X58)/'Project Information - 2'!$B$2</f>
        <v>1042.31568431568</v>
      </c>
      <c r="X58" s="55" t="n">
        <f aca="false">SUM(X54:X56)</f>
        <v>1043358</v>
      </c>
      <c r="Y58" s="55"/>
      <c r="Z58" s="55" t="n">
        <f aca="false">SUM(AA58)/'Project Information - 2'!$B$2</f>
        <v>1037.32067932068</v>
      </c>
      <c r="AA58" s="55" t="n">
        <f aca="false">SUM(AA54:AA56)</f>
        <v>1038358</v>
      </c>
      <c r="AB58" s="55"/>
      <c r="AC58" s="55" t="n">
        <f aca="false">SUM(AD58)/'Project Information - 2'!$B$2</f>
        <v>1082.27572427572</v>
      </c>
      <c r="AD58" s="55" t="n">
        <f aca="false">SUM(AD54:AD56)</f>
        <v>1083358</v>
      </c>
      <c r="AE58" s="55"/>
      <c r="AF58" s="55" t="n">
        <f aca="false">SUM(AG58)/'Project Information - 2'!$B$2</f>
        <v>7843.2602997003</v>
      </c>
      <c r="AG58" s="55" t="n">
        <f aca="false">SUM(AG54:AG56)</f>
        <v>7851103.56</v>
      </c>
      <c r="AH58" s="55"/>
      <c r="AI58" s="55" t="n">
        <f aca="false">SUM(AJ58)/'Project Information - 2'!$B$2</f>
        <v>5356.64335664336</v>
      </c>
      <c r="AJ58" s="55" t="n">
        <f aca="false">SUM(AJ54:AJ56)</f>
        <v>5362000</v>
      </c>
    </row>
    <row r="59" customFormat="false" ht="12.75" hidden="false" customHeight="true" outlineLevel="0" collapsed="false">
      <c r="A59" s="35" t="n">
        <v>11</v>
      </c>
      <c r="B59" s="52" t="s">
        <v>196</v>
      </c>
      <c r="C59" s="30"/>
      <c r="D59" s="11"/>
      <c r="E59" s="74"/>
      <c r="F59" s="55"/>
      <c r="G59" s="56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customFormat="false" ht="12.75" hidden="false" customHeight="true" outlineLevel="0" collapsed="false">
      <c r="A60" s="183" t="n">
        <v>11.1</v>
      </c>
      <c r="B60" s="36" t="s">
        <v>197</v>
      </c>
      <c r="C60" s="30"/>
      <c r="D60" s="11"/>
      <c r="E60" s="68" t="n">
        <f aca="false">F60/F$58</f>
        <v>0.195773906979594</v>
      </c>
      <c r="F60" s="59" t="n">
        <f aca="false">'11.1 Consultant fees'!F54</f>
        <v>500000</v>
      </c>
      <c r="G60" s="75"/>
      <c r="H60" s="68" t="n">
        <f aca="false">I60/I58</f>
        <v>0.00828664270537892</v>
      </c>
      <c r="I60" s="59" t="n">
        <f aca="false">AVERAGE(L60,O60,R60)</f>
        <v>20000</v>
      </c>
      <c r="J60" s="59"/>
      <c r="K60" s="68" t="n">
        <f aca="false">L60/$L$58</f>
        <v>0.0080622453716161</v>
      </c>
      <c r="L60" s="59" t="n">
        <f aca="false">'11.1 Consultant fees'!K54</f>
        <v>20000</v>
      </c>
      <c r="M60" s="59"/>
      <c r="N60" s="68" t="n">
        <f aca="false">O60/$L$58</f>
        <v>0.0080622453716161</v>
      </c>
      <c r="O60" s="59" t="n">
        <f aca="false">'11.1 Consultant fees'!P54</f>
        <v>20000</v>
      </c>
      <c r="P60" s="59"/>
      <c r="Q60" s="68" t="n">
        <f aca="false">R60/$L$58</f>
        <v>0.0080622453716161</v>
      </c>
      <c r="R60" s="59" t="n">
        <f aca="false">'11.1 Consultant fees'!U54</f>
        <v>20000</v>
      </c>
      <c r="S60" s="59"/>
      <c r="T60" s="68" t="n">
        <f aca="false">U60/$L$58</f>
        <v>0.0080622453716161</v>
      </c>
      <c r="U60" s="59" t="n">
        <f aca="false">'11.1 Consultant fees'!Z54</f>
        <v>20000</v>
      </c>
      <c r="V60" s="59"/>
      <c r="W60" s="68" t="n">
        <f aca="false">X60/$L$58</f>
        <v>0.0120933680574241</v>
      </c>
      <c r="X60" s="59" t="n">
        <f aca="false">'11.1 Consultant fees'!AE54</f>
        <v>30000</v>
      </c>
      <c r="Y60" s="59"/>
      <c r="Z60" s="68" t="n">
        <f aca="false">AA60/$L$58</f>
        <v>0.0110855873859721</v>
      </c>
      <c r="AA60" s="59" t="n">
        <f aca="false">'11.1 Consultant fees'!AJ54</f>
        <v>27500</v>
      </c>
      <c r="AB60" s="59"/>
      <c r="AC60" s="68" t="n">
        <f aca="false">AD60/$L$58</f>
        <v>0.0201556134290402</v>
      </c>
      <c r="AD60" s="59" t="n">
        <f aca="false">'11.1 Consultant fees'!AO54</f>
        <v>50000</v>
      </c>
      <c r="AE60" s="55"/>
      <c r="AF60" s="68" t="n">
        <f aca="false">AG60/$L$58</f>
        <v>0</v>
      </c>
      <c r="AG60" s="55"/>
      <c r="AH60" s="55"/>
      <c r="AI60" s="68" t="n">
        <f aca="false">AJ60/$L$58</f>
        <v>0</v>
      </c>
      <c r="AJ60" s="55"/>
    </row>
    <row r="61" customFormat="false" ht="12.75" hidden="false" customHeight="true" outlineLevel="0" collapsed="false">
      <c r="A61" s="183" t="n">
        <v>11.2</v>
      </c>
      <c r="B61" s="36" t="s">
        <v>198</v>
      </c>
      <c r="C61" s="30"/>
      <c r="E61" s="68" t="n">
        <f aca="false">F61/F$58</f>
        <v>0.00783095627918377</v>
      </c>
      <c r="F61" s="59" t="n">
        <f aca="false">'11.2 Contractor''s pre-con fees'!F54</f>
        <v>20000</v>
      </c>
      <c r="G61" s="75"/>
      <c r="H61" s="68" t="n">
        <f aca="false">I61/I58</f>
        <v>0.00828664270537892</v>
      </c>
      <c r="I61" s="59" t="n">
        <f aca="false">AVERAGE(L61,O61,R61)</f>
        <v>20000</v>
      </c>
      <c r="J61" s="59"/>
      <c r="K61" s="68" t="n">
        <f aca="false">L61/$L$58</f>
        <v>0.0080622453716161</v>
      </c>
      <c r="L61" s="59" t="n">
        <f aca="false">'11.2 Contractor''s pre-con fees'!K54</f>
        <v>20000</v>
      </c>
      <c r="M61" s="59"/>
      <c r="N61" s="68" t="n">
        <f aca="false">O61/$L$58</f>
        <v>0.0080622453716161</v>
      </c>
      <c r="O61" s="59" t="n">
        <f aca="false">'11.2 Contractor''s pre-con fees'!P54</f>
        <v>20000</v>
      </c>
      <c r="P61" s="59"/>
      <c r="Q61" s="68" t="n">
        <f aca="false">R61/$L$58</f>
        <v>0.0080622453716161</v>
      </c>
      <c r="R61" s="59" t="n">
        <f aca="false">'11.2 Contractor''s pre-con fees'!U54</f>
        <v>20000</v>
      </c>
      <c r="S61" s="59"/>
      <c r="T61" s="68" t="n">
        <f aca="false">U61/$L$58</f>
        <v>0.0080622453716161</v>
      </c>
      <c r="U61" s="59" t="n">
        <f aca="false">'11.2 Contractor''s pre-con fees'!Z54</f>
        <v>20000</v>
      </c>
      <c r="V61" s="59"/>
      <c r="W61" s="68" t="n">
        <f aca="false">X61/$L$58</f>
        <v>0.0120933680574241</v>
      </c>
      <c r="X61" s="59" t="n">
        <f aca="false">'11.2 Contractor''s pre-con fees'!AE54</f>
        <v>30000</v>
      </c>
      <c r="Y61" s="59"/>
      <c r="Z61" s="68" t="n">
        <f aca="false">AA61/$L$58</f>
        <v>0.0110855873859721</v>
      </c>
      <c r="AA61" s="59" t="n">
        <f aca="false">'11.2 Contractor''s pre-con fees'!AJ54</f>
        <v>27500</v>
      </c>
      <c r="AB61" s="59"/>
      <c r="AC61" s="68" t="n">
        <f aca="false">AD61/$L$58</f>
        <v>0.0201556134290402</v>
      </c>
      <c r="AD61" s="59" t="n">
        <f aca="false">'11.2 Contractor''s pre-con fees'!AO54</f>
        <v>50000</v>
      </c>
      <c r="AE61" s="55"/>
      <c r="AF61" s="68" t="n">
        <f aca="false">AG61/$L$58</f>
        <v>0</v>
      </c>
      <c r="AG61" s="55"/>
      <c r="AH61" s="55"/>
      <c r="AI61" s="68" t="n">
        <f aca="false">AJ61/$L$58</f>
        <v>0</v>
      </c>
      <c r="AJ61" s="55"/>
    </row>
    <row r="62" customFormat="false" ht="12.75" hidden="false" customHeight="true" outlineLevel="0" collapsed="false">
      <c r="A62" s="183" t="n">
        <v>11.3</v>
      </c>
      <c r="B62" s="36" t="s">
        <v>199</v>
      </c>
      <c r="C62" s="30"/>
      <c r="D62" s="11"/>
      <c r="E62" s="68" t="n">
        <f aca="false">F62/F$58</f>
        <v>0.00783095627918377</v>
      </c>
      <c r="F62" s="59" t="n">
        <f aca="false">'11.3 Contractor''s design fees'!F54</f>
        <v>20000</v>
      </c>
      <c r="G62" s="75"/>
      <c r="H62" s="68" t="n">
        <f aca="false">I62/I58</f>
        <v>0.00828664270537892</v>
      </c>
      <c r="I62" s="59" t="n">
        <f aca="false">AVERAGE(L62,O62,R62)</f>
        <v>20000</v>
      </c>
      <c r="J62" s="59"/>
      <c r="K62" s="68" t="n">
        <f aca="false">L62/$L$58</f>
        <v>0.0080622453716161</v>
      </c>
      <c r="L62" s="59" t="n">
        <f aca="false">'11.3 Contractor''s design fees'!K54</f>
        <v>20000</v>
      </c>
      <c r="M62" s="59"/>
      <c r="N62" s="68" t="n">
        <f aca="false">O62/$L$58</f>
        <v>0.0080622453716161</v>
      </c>
      <c r="O62" s="59" t="n">
        <f aca="false">'11.3 Contractor''s design fees'!P54</f>
        <v>20000</v>
      </c>
      <c r="P62" s="59"/>
      <c r="Q62" s="68" t="n">
        <f aca="false">R62/$L$58</f>
        <v>0.0080622453716161</v>
      </c>
      <c r="R62" s="59" t="n">
        <f aca="false">'11.3 Contractor''s design fees'!U54</f>
        <v>20000</v>
      </c>
      <c r="S62" s="59"/>
      <c r="T62" s="68" t="n">
        <f aca="false">U62/$L$58</f>
        <v>0.0080622453716161</v>
      </c>
      <c r="U62" s="59" t="n">
        <f aca="false">'11.3 Contractor''s design fees'!Z54</f>
        <v>20000</v>
      </c>
      <c r="V62" s="59"/>
      <c r="W62" s="68" t="n">
        <f aca="false">X62/$L$58</f>
        <v>0.0120933680574241</v>
      </c>
      <c r="X62" s="59" t="n">
        <f aca="false">'11.3 Contractor''s design fees'!AE54</f>
        <v>30000</v>
      </c>
      <c r="Y62" s="59"/>
      <c r="Z62" s="68" t="n">
        <f aca="false">AA62/$L$58</f>
        <v>0.0110855873859721</v>
      </c>
      <c r="AA62" s="59" t="n">
        <f aca="false">'11.3 Contractor''s design fees'!AJ54</f>
        <v>27500</v>
      </c>
      <c r="AB62" s="59"/>
      <c r="AC62" s="68" t="n">
        <f aca="false">AD62/$L$58</f>
        <v>0.0201556134290402</v>
      </c>
      <c r="AD62" s="59" t="n">
        <f aca="false">'11.3 Contractor''s design fees'!AO54</f>
        <v>50000</v>
      </c>
      <c r="AE62" s="55"/>
      <c r="AF62" s="68" t="n">
        <f aca="false">AG62/$L$58</f>
        <v>0</v>
      </c>
      <c r="AG62" s="55"/>
      <c r="AH62" s="55"/>
      <c r="AI62" s="68" t="n">
        <f aca="false">AJ62/$L$58</f>
        <v>0</v>
      </c>
      <c r="AJ62" s="55"/>
    </row>
    <row r="63" customFormat="false" ht="12.75" hidden="false" customHeight="true" outlineLevel="0" collapsed="false">
      <c r="A63" s="35" t="n">
        <v>12</v>
      </c>
      <c r="B63" s="52" t="s">
        <v>200</v>
      </c>
      <c r="C63" s="30" t="s">
        <v>201</v>
      </c>
      <c r="D63" s="11"/>
      <c r="E63" s="55"/>
      <c r="F63" s="55"/>
      <c r="G63" s="56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customFormat="false" ht="12.75" hidden="false" customHeight="true" outlineLevel="0" collapsed="false">
      <c r="A64" s="66"/>
      <c r="B64" s="11"/>
      <c r="C64" s="30"/>
      <c r="D64" s="11"/>
      <c r="E64" s="55"/>
      <c r="F64" s="55"/>
      <c r="G64" s="56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customFormat="false" ht="12.75" hidden="false" customHeight="true" outlineLevel="0" collapsed="false">
      <c r="A65" s="66"/>
      <c r="B65" s="52" t="s">
        <v>195</v>
      </c>
      <c r="C65" s="30"/>
      <c r="D65" s="11"/>
      <c r="E65" s="55" t="n">
        <f aca="false">SUM(F65)/'Project Information - 2'!$B$2</f>
        <v>539.46053946054</v>
      </c>
      <c r="F65" s="55" t="n">
        <f aca="false">SUM(F60:F62)</f>
        <v>540000</v>
      </c>
      <c r="G65" s="56"/>
      <c r="H65" s="55" t="n">
        <f aca="false">SUM(I65)/'Project Information - 2'!$B$2</f>
        <v>59.9400599400599</v>
      </c>
      <c r="I65" s="55" t="n">
        <f aca="false">SUM(I60:I62)</f>
        <v>60000</v>
      </c>
      <c r="J65" s="55"/>
      <c r="K65" s="55" t="n">
        <f aca="false">SUM(L65)/'Project Information - 2'!$B$2</f>
        <v>59.9400599400599</v>
      </c>
      <c r="L65" s="55" t="n">
        <f aca="false">SUM(L60:L62)</f>
        <v>60000</v>
      </c>
      <c r="M65" s="55"/>
      <c r="N65" s="55" t="n">
        <f aca="false">SUM(O65)/'Project Information - 2'!$B$2</f>
        <v>59.9400599400599</v>
      </c>
      <c r="O65" s="55" t="n">
        <f aca="false">SUM(O60:O62)</f>
        <v>60000</v>
      </c>
      <c r="P65" s="55"/>
      <c r="Q65" s="55" t="n">
        <f aca="false">SUM(R65)/'Project Information - 2'!$B$2</f>
        <v>59.9400599400599</v>
      </c>
      <c r="R65" s="55" t="n">
        <f aca="false">SUM(R60:R62)</f>
        <v>60000</v>
      </c>
      <c r="S65" s="55"/>
      <c r="T65" s="55" t="n">
        <f aca="false">SUM(U65)/'Project Information - 2'!$B$2</f>
        <v>59.9400599400599</v>
      </c>
      <c r="U65" s="55" t="n">
        <f aca="false">SUM(U60:U62)</f>
        <v>60000</v>
      </c>
      <c r="V65" s="55"/>
      <c r="W65" s="55" t="n">
        <f aca="false">SUM(X65)/'Project Information - 2'!$B$2</f>
        <v>89.9100899100899</v>
      </c>
      <c r="X65" s="55" t="n">
        <f aca="false">SUM(X60:X62)</f>
        <v>90000</v>
      </c>
      <c r="Y65" s="55"/>
      <c r="Z65" s="55" t="n">
        <f aca="false">SUM(AA65)/'Project Information - 2'!$B$2</f>
        <v>82.4175824175824</v>
      </c>
      <c r="AA65" s="55" t="n">
        <f aca="false">SUM(AA60:AA62)</f>
        <v>82500</v>
      </c>
      <c r="AB65" s="55"/>
      <c r="AC65" s="55" t="n">
        <f aca="false">SUM(AD65)/'Project Information - 2'!$B$2</f>
        <v>149.85014985015</v>
      </c>
      <c r="AD65" s="55" t="n">
        <f aca="false">SUM(AD60:AD62)</f>
        <v>150000</v>
      </c>
      <c r="AE65" s="55"/>
      <c r="AF65" s="55" t="n">
        <f aca="false">SUM(AG65)/'Project Information - 2'!$B$2</f>
        <v>0</v>
      </c>
      <c r="AG65" s="55" t="n">
        <f aca="false">SUM(AG60:AG62)</f>
        <v>0</v>
      </c>
      <c r="AH65" s="55"/>
      <c r="AI65" s="55" t="n">
        <f aca="false">SUM(AJ65)/'Project Information - 2'!$B$2</f>
        <v>0</v>
      </c>
      <c r="AJ65" s="55" t="n">
        <f aca="false">SUM(AJ60:AJ62)</f>
        <v>0</v>
      </c>
    </row>
    <row r="66" customFormat="false" ht="12.75" hidden="false" customHeight="true" outlineLevel="0" collapsed="false">
      <c r="A66" s="35" t="n">
        <v>13</v>
      </c>
      <c r="B66" s="52" t="s">
        <v>202</v>
      </c>
      <c r="C66" s="30"/>
      <c r="D66" s="11"/>
      <c r="E66" s="55"/>
      <c r="F66" s="55"/>
      <c r="G66" s="56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customFormat="false" ht="12.75" hidden="false" customHeight="true" outlineLevel="0" collapsed="false">
      <c r="A67" s="183" t="n">
        <v>13.1</v>
      </c>
      <c r="B67" s="51" t="s">
        <v>203</v>
      </c>
      <c r="C67" s="76"/>
      <c r="D67" s="51"/>
      <c r="E67" s="68" t="n">
        <f aca="false">F67/F58</f>
        <v>0.00783095627918377</v>
      </c>
      <c r="F67" s="59" t="n">
        <f aca="false">'13.1 Design development risks'!F54</f>
        <v>20000</v>
      </c>
      <c r="G67" s="56"/>
      <c r="H67" s="68" t="n">
        <f aca="false">I67/I65</f>
        <v>0.333333333333333</v>
      </c>
      <c r="I67" s="59" t="n">
        <f aca="false">AVERAGE(L67,O67,R67)</f>
        <v>20000</v>
      </c>
      <c r="J67" s="55"/>
      <c r="K67" s="68" t="n">
        <f aca="false">L67/L58</f>
        <v>0.0080622453716161</v>
      </c>
      <c r="L67" s="59" t="n">
        <f aca="false">'13.1 Design development risks'!K54</f>
        <v>20000</v>
      </c>
      <c r="M67" s="55"/>
      <c r="N67" s="68" t="n">
        <f aca="false">O67/O58</f>
        <v>0.0082019786453284</v>
      </c>
      <c r="O67" s="59" t="n">
        <f aca="false">'13.1 Design development risks'!P54</f>
        <v>20000</v>
      </c>
      <c r="P67" s="55"/>
      <c r="Q67" s="68" t="n">
        <f aca="false">R67/R58</f>
        <v>0.00645919412187498</v>
      </c>
      <c r="R67" s="59" t="n">
        <f aca="false">'13.1 Design development risks'!U54</f>
        <v>20000</v>
      </c>
      <c r="S67" s="55"/>
      <c r="T67" s="68" t="n">
        <f aca="false">U67/U58</f>
        <v>0.0163691639326753</v>
      </c>
      <c r="U67" s="59" t="n">
        <f aca="false">'13.1 Design development risks'!Z54</f>
        <v>20000</v>
      </c>
      <c r="V67" s="55"/>
      <c r="W67" s="68" t="n">
        <f aca="false">X67/X58</f>
        <v>0.0287533138194177</v>
      </c>
      <c r="X67" s="59" t="n">
        <f aca="false">'13.1 Design development risks'!AE54</f>
        <v>30000</v>
      </c>
      <c r="Y67" s="55"/>
      <c r="Z67" s="68" t="n">
        <f aca="false">AA67/AA58</f>
        <v>0.0264841220465389</v>
      </c>
      <c r="AA67" s="59" t="n">
        <f aca="false">'13.1 Design development risks'!AJ54</f>
        <v>27500</v>
      </c>
      <c r="AB67" s="55"/>
      <c r="AC67" s="68" t="n">
        <f aca="false">AD67/AD58</f>
        <v>0.0461527952901996</v>
      </c>
      <c r="AD67" s="59" t="n">
        <f aca="false">'13.1 Design development risks'!AO54</f>
        <v>50000</v>
      </c>
      <c r="AE67" s="55"/>
      <c r="AF67" s="68" t="n">
        <f aca="false">AG67/AG58</f>
        <v>0.0453085349443537</v>
      </c>
      <c r="AG67" s="59" t="n">
        <v>355722</v>
      </c>
      <c r="AH67" s="55"/>
      <c r="AI67" s="68" t="n">
        <f aca="false">AJ67/AJ58</f>
        <v>0.0960462513987318</v>
      </c>
      <c r="AJ67" s="59" t="n">
        <v>515000</v>
      </c>
    </row>
    <row r="68" customFormat="false" ht="12.75" hidden="false" customHeight="true" outlineLevel="0" collapsed="false">
      <c r="A68" s="183" t="n">
        <v>13.2</v>
      </c>
      <c r="B68" s="51" t="s">
        <v>204</v>
      </c>
      <c r="C68" s="76"/>
      <c r="D68" s="51"/>
      <c r="E68" s="68" t="n">
        <f aca="false">F68/SUM(F58,F67)</f>
        <v>0.00777010889613365</v>
      </c>
      <c r="F68" s="59" t="n">
        <f aca="false">'13.2 Construction risks'!F54</f>
        <v>20000</v>
      </c>
      <c r="G68" s="56"/>
      <c r="H68" s="68" t="n">
        <f aca="false">I68/I65</f>
        <v>0.333333333333333</v>
      </c>
      <c r="I68" s="59" t="n">
        <f aca="false">AVERAGE(L68,O68,R68)</f>
        <v>20000</v>
      </c>
      <c r="J68" s="55"/>
      <c r="K68" s="68" t="n">
        <f aca="false">L68/SUM(L58,L67)</f>
        <v>0.00799776542434044</v>
      </c>
      <c r="L68" s="59" t="n">
        <f aca="false">'13.2 Construction risks'!K54</f>
        <v>20000</v>
      </c>
      <c r="M68" s="55"/>
      <c r="N68" s="68" t="n">
        <f aca="false">O68/SUM(O58,O67)</f>
        <v>0.00813525347009237</v>
      </c>
      <c r="O68" s="59" t="n">
        <f aca="false">'13.2 Construction risks'!P54</f>
        <v>20000</v>
      </c>
      <c r="P68" s="55"/>
      <c r="Q68" s="68" t="n">
        <f aca="false">R68/SUM(R58,R67)</f>
        <v>0.00641774068894125</v>
      </c>
      <c r="R68" s="59" t="n">
        <f aca="false">'13.2 Construction risks'!U54</f>
        <v>20000</v>
      </c>
      <c r="S68" s="55"/>
      <c r="T68" s="68" t="n">
        <f aca="false">U68/SUM(U58,U67)</f>
        <v>0.016105529873946</v>
      </c>
      <c r="U68" s="59" t="n">
        <f aca="false">'13.2 Construction risks'!Z54</f>
        <v>20000</v>
      </c>
      <c r="V68" s="55"/>
      <c r="W68" s="68" t="n">
        <f aca="false">X68/SUM(X58,X67)</f>
        <v>0.027949668237438</v>
      </c>
      <c r="X68" s="59" t="n">
        <f aca="false">'13.2 Construction risks'!AE54</f>
        <v>30000</v>
      </c>
      <c r="Y68" s="55"/>
      <c r="Z68" s="68" t="n">
        <f aca="false">AA68/SUM(AA58,AA67)</f>
        <v>0.0258008102392626</v>
      </c>
      <c r="AA68" s="59" t="n">
        <f aca="false">'13.2 Construction risks'!AJ54</f>
        <v>27500</v>
      </c>
      <c r="AB68" s="55"/>
      <c r="AC68" s="68" t="n">
        <f aca="false">AD68/SUM(AD58,AD67)</f>
        <v>0.0441166868721093</v>
      </c>
      <c r="AD68" s="59" t="n">
        <f aca="false">'13.2 Construction risks'!AO54</f>
        <v>50000</v>
      </c>
      <c r="AE68" s="55"/>
      <c r="AF68" s="68" t="n">
        <f aca="false">AG68/SUM(AG58:AG67)</f>
        <v>0.0502783685340084</v>
      </c>
      <c r="AG68" s="59" t="n">
        <v>412625.8</v>
      </c>
      <c r="AH68" s="55"/>
      <c r="AI68" s="68"/>
      <c r="AJ68" s="59" t="s">
        <v>205</v>
      </c>
    </row>
    <row r="69" customFormat="false" ht="14.25" hidden="false" customHeight="true" outlineLevel="0" collapsed="false">
      <c r="A69" s="66"/>
      <c r="B69" s="52" t="s">
        <v>206</v>
      </c>
      <c r="C69" s="30"/>
      <c r="D69" s="11"/>
      <c r="E69" s="55" t="n">
        <f aca="false">SUM(F69)/'Project Information - 2'!$B$2</f>
        <v>3670.2962037962</v>
      </c>
      <c r="F69" s="55" t="n">
        <f aca="false">SUM(F58:F68)</f>
        <v>3673966.5</v>
      </c>
      <c r="G69" s="56"/>
      <c r="H69" s="55" t="n">
        <f aca="false">SUM(I69)/'Project Information - 2'!$B$2</f>
        <v>2570.95171495171</v>
      </c>
      <c r="I69" s="55" t="n">
        <f aca="false">SUM(I58:I68)</f>
        <v>2573522.66666667</v>
      </c>
      <c r="J69" s="55"/>
      <c r="K69" s="55" t="n">
        <f aca="false">SUM(L69)/'Project Information - 2'!$B$2</f>
        <v>2638.06043956044</v>
      </c>
      <c r="L69" s="55" t="n">
        <f aca="false">SUM(L58:L68)</f>
        <v>2640698.5</v>
      </c>
      <c r="M69" s="55"/>
      <c r="N69" s="55" t="n">
        <f aca="false">SUM(O69)/'Project Information - 2'!$B$2</f>
        <v>2595.84015984016</v>
      </c>
      <c r="O69" s="55" t="n">
        <f aca="false">SUM(O58:O68)</f>
        <v>2598436</v>
      </c>
      <c r="P69" s="55"/>
      <c r="Q69" s="55" t="n">
        <f aca="false">SUM(R69)/'Project Information - 2'!$B$2</f>
        <v>3253.10839160839</v>
      </c>
      <c r="R69" s="55" t="n">
        <f aca="false">SUM(R58:R68)</f>
        <v>3256361.5</v>
      </c>
      <c r="S69" s="55"/>
      <c r="T69" s="55" t="n">
        <f aca="false">SUM(U69)/'Project Information - 2'!$B$2</f>
        <v>1380.42907092907</v>
      </c>
      <c r="U69" s="55" t="n">
        <f aca="false">SUM(U58:U68)</f>
        <v>1381809.5</v>
      </c>
      <c r="V69" s="55"/>
      <c r="W69" s="55" t="n">
        <f aca="false">SUM(X69)/'Project Information - 2'!$B$2</f>
        <v>1282.07592407592</v>
      </c>
      <c r="X69" s="55" t="n">
        <f aca="false">SUM(X58:X68)</f>
        <v>1283358</v>
      </c>
      <c r="Y69" s="55"/>
      <c r="Z69" s="55" t="n">
        <f aca="false">SUM(AA69)/'Project Information - 2'!$B$2</f>
        <v>1257.1008991009</v>
      </c>
      <c r="AA69" s="55" t="n">
        <f aca="false">SUM(AA58:AA68)</f>
        <v>1258358</v>
      </c>
      <c r="AB69" s="55"/>
      <c r="AC69" s="55" t="n">
        <f aca="false">SUM(AD69)/'Project Information - 2'!$B$2</f>
        <v>1481.87612387612</v>
      </c>
      <c r="AD69" s="55" t="n">
        <f aca="false">SUM(AD58:AD68)</f>
        <v>1483358</v>
      </c>
      <c r="AE69" s="55"/>
      <c r="AF69" s="55" t="n">
        <f aca="false">SUM(AG69)/'Project Information - 2'!$B$2</f>
        <v>8610.84051948052</v>
      </c>
      <c r="AG69" s="55" t="n">
        <f aca="false">SUM(AG58:AG68)</f>
        <v>8619451.36</v>
      </c>
      <c r="AH69" s="55"/>
      <c r="AI69" s="55" t="n">
        <f aca="false">SUM(AJ69)/'Project Information - 2'!$B$2</f>
        <v>5871.12887112887</v>
      </c>
      <c r="AJ69" s="55" t="n">
        <f aca="false">SUM(AJ58:AJ68)</f>
        <v>5877000</v>
      </c>
    </row>
    <row r="70" customFormat="false" ht="12.75" hidden="false" customHeight="true" outlineLevel="0" collapsed="false">
      <c r="A70" s="35" t="n">
        <v>14</v>
      </c>
      <c r="B70" s="52" t="s">
        <v>207</v>
      </c>
      <c r="C70" s="30"/>
      <c r="D70" s="11"/>
      <c r="E70" s="55"/>
      <c r="F70" s="55"/>
      <c r="G70" s="56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customFormat="false" ht="12.75" hidden="false" customHeight="true" outlineLevel="0" collapsed="false">
      <c r="A71" s="183" t="n">
        <v>14.1</v>
      </c>
      <c r="B71" s="51" t="s">
        <v>208</v>
      </c>
      <c r="C71" s="76" t="n">
        <v>1</v>
      </c>
      <c r="D71" s="51" t="s">
        <v>209</v>
      </c>
      <c r="E71" s="68" t="n">
        <f aca="false">'14.1 Tender Inflation'!$C$11/100</f>
        <v>0.024390243902439</v>
      </c>
      <c r="F71" s="59" t="n">
        <f aca="false">E71*F69</f>
        <v>89608.9390243903</v>
      </c>
      <c r="G71" s="56"/>
      <c r="H71" s="59" t="n">
        <f aca="false">SUM(I71)/$C71</f>
        <v>69069.0731707317</v>
      </c>
      <c r="I71" s="59" t="n">
        <f aca="false">AVERAGE(L71,O71,R71)</f>
        <v>69069.0731707317</v>
      </c>
      <c r="J71" s="55"/>
      <c r="K71" s="68" t="n">
        <f aca="false">'14.1 Tender Inflation'!$C$11/100</f>
        <v>0.024390243902439</v>
      </c>
      <c r="L71" s="59" t="n">
        <f aca="false">K71*L69</f>
        <v>64407.2804878049</v>
      </c>
      <c r="M71" s="55"/>
      <c r="N71" s="68" t="n">
        <f aca="false">'14.1 Tender Inflation'!$C$11/100</f>
        <v>0.024390243902439</v>
      </c>
      <c r="O71" s="59" t="n">
        <f aca="false">N71*O69</f>
        <v>63376.4878048781</v>
      </c>
      <c r="P71" s="55"/>
      <c r="Q71" s="68" t="n">
        <f aca="false">'14.1 Tender Inflation'!$C$11/100</f>
        <v>0.024390243902439</v>
      </c>
      <c r="R71" s="59" t="n">
        <f aca="false">Q71*R69</f>
        <v>79423.4512195122</v>
      </c>
      <c r="S71" s="55"/>
      <c r="T71" s="68" t="n">
        <f aca="false">'14.1 Tender Inflation'!$C$11/100</f>
        <v>0.024390243902439</v>
      </c>
      <c r="U71" s="59" t="n">
        <f aca="false">T71*U69</f>
        <v>33702.6707317073</v>
      </c>
      <c r="V71" s="55"/>
      <c r="W71" s="68" t="n">
        <f aca="false">'14.1 Tender Inflation'!$C$11/100</f>
        <v>0.024390243902439</v>
      </c>
      <c r="X71" s="59" t="n">
        <f aca="false">W71*X69</f>
        <v>31301.4146341463</v>
      </c>
      <c r="Y71" s="55"/>
      <c r="Z71" s="68" t="n">
        <f aca="false">'14.1 Tender Inflation'!$C$11/100</f>
        <v>0.024390243902439</v>
      </c>
      <c r="AA71" s="59" t="n">
        <f aca="false">Z71*AA69</f>
        <v>30691.6585365854</v>
      </c>
      <c r="AB71" s="55"/>
      <c r="AC71" s="68" t="n">
        <f aca="false">'14.1 Tender Inflation'!$C$11/100</f>
        <v>0.024390243902439</v>
      </c>
      <c r="AD71" s="59" t="n">
        <f aca="false">AC71*AD69</f>
        <v>36179.4634146342</v>
      </c>
      <c r="AE71" s="55"/>
      <c r="AF71" s="68" t="n">
        <f aca="false">'14.1 Tender Inflation'!$C$11/100</f>
        <v>0.024390243902439</v>
      </c>
      <c r="AG71" s="59" t="n">
        <f aca="false">(AF71/100)*AG69</f>
        <v>2102.3052097561</v>
      </c>
      <c r="AH71" s="55"/>
      <c r="AI71" s="68" t="n">
        <f aca="false">'14.1 Tender Inflation'!$C$11/100</f>
        <v>0.024390243902439</v>
      </c>
      <c r="AJ71" s="59" t="n">
        <f aca="false">(AI71/100)*AJ69</f>
        <v>1433.41463414634</v>
      </c>
    </row>
    <row r="72" customFormat="false" ht="12.75" hidden="false" customHeight="true" outlineLevel="0" collapsed="false">
      <c r="A72" s="183" t="n">
        <v>14.2</v>
      </c>
      <c r="B72" s="51" t="s">
        <v>210</v>
      </c>
      <c r="C72" s="76" t="n">
        <v>1</v>
      </c>
      <c r="D72" s="51" t="s">
        <v>209</v>
      </c>
      <c r="E72" s="68" t="n">
        <f aca="false">'14.2 Construction Inflation'!$C$11/100</f>
        <v>0.0119047619047619</v>
      </c>
      <c r="F72" s="59" t="n">
        <f aca="false">E72*F69</f>
        <v>43737.6964285714</v>
      </c>
      <c r="G72" s="56"/>
      <c r="H72" s="59" t="n">
        <f aca="false">SUM(I72)/$C72</f>
        <v>33712.2857142857</v>
      </c>
      <c r="I72" s="59" t="n">
        <f aca="false">AVERAGE(L72,O72,R72)</f>
        <v>33712.2857142857</v>
      </c>
      <c r="J72" s="55"/>
      <c r="K72" s="68" t="n">
        <f aca="false">'14.2 Construction Inflation'!$C$11/100</f>
        <v>0.0119047619047619</v>
      </c>
      <c r="L72" s="59" t="n">
        <f aca="false">K72*L69</f>
        <v>31436.8869047619</v>
      </c>
      <c r="M72" s="55"/>
      <c r="N72" s="68" t="n">
        <f aca="false">'14.2 Construction Inflation'!$C$11/100</f>
        <v>0.0119047619047619</v>
      </c>
      <c r="O72" s="59" t="n">
        <f aca="false">N72*O69</f>
        <v>30933.7619047619</v>
      </c>
      <c r="P72" s="55"/>
      <c r="Q72" s="68" t="n">
        <f aca="false">'14.2 Construction Inflation'!$C$11/100</f>
        <v>0.0119047619047619</v>
      </c>
      <c r="R72" s="59" t="n">
        <f aca="false">Q72*R69</f>
        <v>38766.2083333333</v>
      </c>
      <c r="S72" s="55"/>
      <c r="T72" s="68" t="n">
        <f aca="false">'14.2 Construction Inflation'!$C$11/100</f>
        <v>0.0119047619047619</v>
      </c>
      <c r="U72" s="59" t="n">
        <f aca="false">T72*U69</f>
        <v>16450.1130952381</v>
      </c>
      <c r="V72" s="55"/>
      <c r="W72" s="68" t="n">
        <f aca="false">'14.2 Construction Inflation'!$C$11/100</f>
        <v>0.0119047619047619</v>
      </c>
      <c r="X72" s="59" t="n">
        <f aca="false">W72*X69</f>
        <v>15278.0714285714</v>
      </c>
      <c r="Y72" s="55"/>
      <c r="Z72" s="68" t="n">
        <f aca="false">'14.2 Construction Inflation'!$C$11/100</f>
        <v>0.0119047619047619</v>
      </c>
      <c r="AA72" s="59" t="n">
        <f aca="false">Z72*AA69</f>
        <v>14980.4523809524</v>
      </c>
      <c r="AB72" s="55"/>
      <c r="AC72" s="68" t="n">
        <f aca="false">'14.2 Construction Inflation'!$C$11/100</f>
        <v>0.0119047619047619</v>
      </c>
      <c r="AD72" s="59" t="n">
        <f aca="false">AC72*AD69</f>
        <v>17659.0238095238</v>
      </c>
      <c r="AE72" s="55"/>
      <c r="AF72" s="59" t="n">
        <f aca="false">SUM(AG72)/$C72</f>
        <v>539035.3</v>
      </c>
      <c r="AG72" s="59" t="n">
        <v>539035.3</v>
      </c>
      <c r="AH72" s="55"/>
      <c r="AI72" s="59" t="n">
        <f aca="false">SUM(AJ72)/$C72</f>
        <v>432000</v>
      </c>
      <c r="AJ72" s="59" t="n">
        <f aca="false">691000-259000</f>
        <v>432000</v>
      </c>
    </row>
    <row r="73" customFormat="false" ht="14.25" hidden="false" customHeight="true" outlineLevel="0" collapsed="false">
      <c r="A73" s="66"/>
      <c r="B73" s="52" t="s">
        <v>211</v>
      </c>
      <c r="C73" s="30"/>
      <c r="D73" s="11"/>
      <c r="E73" s="55" t="n">
        <f aca="false">SUM(F73)/'Project Information - 2'!$B$2</f>
        <v>3803.50962582713</v>
      </c>
      <c r="F73" s="55" t="n">
        <f aca="false">SUM(F69:F72)</f>
        <v>3807313.13545296</v>
      </c>
      <c r="G73" s="56"/>
      <c r="H73" s="55" t="n">
        <f aca="false">SUM(I73)/'Project Information - 2'!$B$2</f>
        <v>2639.95178804935</v>
      </c>
      <c r="I73" s="55" t="n">
        <f aca="false">SUM(I69:I71)</f>
        <v>2642591.7398374</v>
      </c>
      <c r="J73" s="55"/>
      <c r="K73" s="55" t="n">
        <f aca="false">SUM(L73)/'Project Information - 2'!$B$2</f>
        <v>2702.40337711069</v>
      </c>
      <c r="L73" s="55" t="n">
        <f aca="false">SUM(L69:L71)</f>
        <v>2705105.7804878</v>
      </c>
      <c r="M73" s="55"/>
      <c r="N73" s="55" t="n">
        <f aca="false">SUM(O73)/'Project Information - 2'!$B$2</f>
        <v>2659.15333447041</v>
      </c>
      <c r="O73" s="55" t="n">
        <f aca="false">SUM(O69:O71)</f>
        <v>2661812.48780488</v>
      </c>
      <c r="P73" s="55"/>
      <c r="Q73" s="55" t="n">
        <f aca="false">SUM(R73)/'Project Information - 2'!$B$2</f>
        <v>3332.45249872079</v>
      </c>
      <c r="R73" s="55" t="n">
        <f aca="false">SUM(R69:R71)</f>
        <v>3335784.95121951</v>
      </c>
      <c r="S73" s="55"/>
      <c r="T73" s="55" t="n">
        <f aca="false">SUM(U73)/'Project Information - 2'!$B$2</f>
        <v>1414.09807265905</v>
      </c>
      <c r="U73" s="55" t="n">
        <f aca="false">SUM(U69:U71)</f>
        <v>1415512.17073171</v>
      </c>
      <c r="V73" s="55"/>
      <c r="W73" s="55" t="n">
        <f aca="false">SUM(X73)/'Project Information - 2'!$B$2</f>
        <v>1313.34606856558</v>
      </c>
      <c r="X73" s="55" t="n">
        <f aca="false">SUM(X69:X71)</f>
        <v>1314659.41463415</v>
      </c>
      <c r="Y73" s="55"/>
      <c r="Z73" s="55" t="n">
        <f aca="false">SUM(AA73)/'Project Information - 2'!$B$2</f>
        <v>1287.76189663995</v>
      </c>
      <c r="AA73" s="55" t="n">
        <f aca="false">SUM(AA69:AA71)</f>
        <v>1289049.65853659</v>
      </c>
      <c r="AB73" s="55"/>
      <c r="AC73" s="55" t="n">
        <f aca="false">SUM(AD73)/'Project Information - 2'!$B$2</f>
        <v>1518.01944397066</v>
      </c>
      <c r="AD73" s="55" t="n">
        <f aca="false">SUM(AD69:AD71)</f>
        <v>1519537.46341463</v>
      </c>
      <c r="AE73" s="55"/>
      <c r="AF73" s="55" t="n">
        <f aca="false">SUM(AG73)/'Project Information - 2'!$B$2</f>
        <v>8612.94072448527</v>
      </c>
      <c r="AG73" s="55" t="n">
        <f aca="false">SUM(AG69:AG71)</f>
        <v>8621553.66520976</v>
      </c>
      <c r="AH73" s="55"/>
      <c r="AI73" s="55" t="n">
        <f aca="false">SUM(AJ73)/'Project Information - 2'!$B$2</f>
        <v>5872.56085378037</v>
      </c>
      <c r="AJ73" s="55" t="n">
        <f aca="false">SUM(AJ69:AJ71)</f>
        <v>5878433.41463415</v>
      </c>
    </row>
    <row r="74" customFormat="false" ht="12.75" hidden="false" customHeight="true" outlineLevel="0" collapsed="false">
      <c r="A74" s="67" t="n">
        <v>15</v>
      </c>
      <c r="B74" s="52" t="s">
        <v>212</v>
      </c>
      <c r="E74" s="77"/>
      <c r="F74" s="78"/>
      <c r="G74" s="79"/>
      <c r="H74" s="77"/>
      <c r="I74" s="78"/>
      <c r="J74" s="80"/>
      <c r="K74" s="77"/>
      <c r="L74" s="78"/>
      <c r="M74" s="80"/>
      <c r="N74" s="77"/>
      <c r="O74" s="78"/>
      <c r="P74" s="80"/>
      <c r="Q74" s="77"/>
      <c r="R74" s="78"/>
      <c r="S74" s="80"/>
      <c r="T74" s="77"/>
      <c r="U74" s="78"/>
      <c r="V74" s="80"/>
      <c r="W74" s="77"/>
      <c r="X74" s="78"/>
      <c r="Y74" s="80"/>
      <c r="Z74" s="77"/>
      <c r="AA74" s="78"/>
      <c r="AB74" s="80"/>
      <c r="AC74" s="77"/>
      <c r="AD74" s="78"/>
      <c r="AE74" s="80"/>
      <c r="AF74" s="77"/>
      <c r="AG74" s="81"/>
      <c r="AH74" s="80"/>
      <c r="AI74" s="77"/>
      <c r="AJ74" s="81"/>
    </row>
    <row r="75" customFormat="false" ht="12.75" hidden="false" customHeight="true" outlineLevel="0" collapsed="false">
      <c r="A75" s="65"/>
      <c r="B75" s="51" t="s">
        <v>213</v>
      </c>
      <c r="C75" s="76"/>
      <c r="D75" s="51"/>
      <c r="E75" s="68"/>
      <c r="F75" s="59" t="n">
        <f aca="false">Adjustments!G54</f>
        <v>8500</v>
      </c>
      <c r="G75" s="56"/>
      <c r="H75" s="68"/>
      <c r="I75" s="59" t="n">
        <f aca="false">AVERAGE(L75,O75,R75)</f>
        <v>0</v>
      </c>
      <c r="J75" s="55"/>
      <c r="K75" s="68"/>
      <c r="L75" s="59" t="n">
        <f aca="false">Adjustments!L54</f>
        <v>0</v>
      </c>
      <c r="M75" s="55"/>
      <c r="N75" s="68"/>
      <c r="O75" s="59" t="n">
        <f aca="false">Adjustments!Q54</f>
        <v>0</v>
      </c>
      <c r="P75" s="55"/>
      <c r="Q75" s="68"/>
      <c r="R75" s="59" t="n">
        <f aca="false">Adjustments!V54</f>
        <v>0</v>
      </c>
      <c r="S75" s="55"/>
      <c r="T75" s="68"/>
      <c r="U75" s="59" t="n">
        <f aca="false">Adjustments!AA54</f>
        <v>0</v>
      </c>
      <c r="V75" s="55"/>
      <c r="W75" s="68"/>
      <c r="X75" s="59" t="n">
        <f aca="false">Adjustments!AF54</f>
        <v>0</v>
      </c>
      <c r="Y75" s="55"/>
      <c r="Z75" s="68"/>
      <c r="AA75" s="59" t="n">
        <f aca="false">Adjustments!AK54</f>
        <v>0</v>
      </c>
      <c r="AB75" s="55"/>
      <c r="AC75" s="68"/>
      <c r="AD75" s="59" t="n">
        <f aca="false">Adjustments!AP54</f>
        <v>0</v>
      </c>
      <c r="AE75" s="55"/>
      <c r="AF75" s="68"/>
      <c r="AG75" s="59"/>
      <c r="AH75" s="55"/>
      <c r="AI75" s="68"/>
      <c r="AJ75" s="59"/>
    </row>
    <row r="76" customFormat="false" ht="12.75" hidden="false" customHeight="true" outlineLevel="0" collapsed="false">
      <c r="A76" s="65"/>
      <c r="B76" s="51" t="s">
        <v>214</v>
      </c>
      <c r="C76" s="76"/>
      <c r="D76" s="51"/>
      <c r="E76" s="68"/>
      <c r="F76" s="59"/>
      <c r="G76" s="56"/>
      <c r="H76" s="68"/>
      <c r="I76" s="59"/>
      <c r="J76" s="55"/>
      <c r="K76" s="68"/>
      <c r="L76" s="59"/>
      <c r="M76" s="55"/>
      <c r="N76" s="68"/>
      <c r="O76" s="59"/>
      <c r="P76" s="55"/>
      <c r="Q76" s="68"/>
      <c r="R76" s="59"/>
      <c r="S76" s="55"/>
      <c r="T76" s="68"/>
      <c r="U76" s="59"/>
      <c r="V76" s="55"/>
      <c r="W76" s="68"/>
      <c r="X76" s="59"/>
      <c r="Y76" s="55"/>
      <c r="Z76" s="68"/>
      <c r="AA76" s="59"/>
      <c r="AB76" s="55"/>
      <c r="AC76" s="68"/>
      <c r="AD76" s="59"/>
      <c r="AE76" s="55"/>
      <c r="AF76" s="68"/>
      <c r="AG76" s="59"/>
      <c r="AH76" s="55"/>
      <c r="AI76" s="68"/>
      <c r="AJ76" s="59"/>
    </row>
    <row r="77" customFormat="false" ht="7.5" hidden="false" customHeight="true" outlineLevel="0" collapsed="false">
      <c r="A77" s="82"/>
      <c r="B77" s="83"/>
      <c r="E77" s="77"/>
      <c r="F77" s="78"/>
      <c r="G77" s="79"/>
      <c r="H77" s="77"/>
      <c r="I77" s="78"/>
      <c r="J77" s="80"/>
      <c r="K77" s="77"/>
      <c r="L77" s="78"/>
      <c r="M77" s="80"/>
      <c r="N77" s="77"/>
      <c r="O77" s="78"/>
      <c r="P77" s="80"/>
      <c r="Q77" s="77"/>
      <c r="R77" s="78"/>
      <c r="S77" s="80"/>
      <c r="T77" s="77"/>
      <c r="U77" s="78"/>
      <c r="V77" s="80"/>
      <c r="W77" s="77"/>
      <c r="X77" s="78"/>
      <c r="Y77" s="80"/>
      <c r="Z77" s="77"/>
      <c r="AA77" s="78"/>
      <c r="AB77" s="80"/>
      <c r="AC77" s="77"/>
      <c r="AD77" s="78"/>
      <c r="AE77" s="80"/>
      <c r="AF77" s="77"/>
      <c r="AG77" s="81"/>
      <c r="AH77" s="80"/>
      <c r="AI77" s="77"/>
      <c r="AJ77" s="81"/>
    </row>
    <row r="78" customFormat="false" ht="12.75" hidden="false" customHeight="true" outlineLevel="0" collapsed="false">
      <c r="A78" s="66"/>
      <c r="B78" s="52" t="s">
        <v>215</v>
      </c>
      <c r="C78" s="30"/>
      <c r="D78" s="11"/>
      <c r="E78" s="55" t="n">
        <f aca="false">SUM(F78)/'Project Information - 2'!$B$2</f>
        <v>3812.00113431864</v>
      </c>
      <c r="F78" s="55" t="n">
        <f aca="false">SUM(F73:F77)</f>
        <v>3815813.13545296</v>
      </c>
      <c r="G78" s="56"/>
      <c r="H78" s="55" t="n">
        <f aca="false">SUM(I78)/'Project Information - 2'!$B$2</f>
        <v>2639.95178804935</v>
      </c>
      <c r="I78" s="55" t="n">
        <f aca="false">SUM(I73:I77)</f>
        <v>2642591.7398374</v>
      </c>
      <c r="J78" s="55"/>
      <c r="K78" s="55" t="n">
        <f aca="false">SUM(L78)/'Project Information - 2'!$B$2</f>
        <v>2702.40337711069</v>
      </c>
      <c r="L78" s="55" t="n">
        <f aca="false">SUM(L73:L77)</f>
        <v>2705105.7804878</v>
      </c>
      <c r="M78" s="55"/>
      <c r="N78" s="55" t="n">
        <f aca="false">SUM(O78)/'Project Information - 2'!$B$2</f>
        <v>2659.15333447041</v>
      </c>
      <c r="O78" s="55" t="n">
        <f aca="false">SUM(O73:O77)</f>
        <v>2661812.48780488</v>
      </c>
      <c r="P78" s="55"/>
      <c r="Q78" s="55" t="n">
        <f aca="false">SUM(R78)/'Project Information - 2'!$B$2</f>
        <v>3332.45249872079</v>
      </c>
      <c r="R78" s="55" t="n">
        <f aca="false">SUM(R73:R77)</f>
        <v>3335784.95121951</v>
      </c>
      <c r="S78" s="55"/>
      <c r="T78" s="55" t="n">
        <f aca="false">SUM(U78)/'Project Information - 2'!$B$2</f>
        <v>1414.09807265905</v>
      </c>
      <c r="U78" s="55" t="n">
        <f aca="false">SUM(U73:U77)</f>
        <v>1415512.17073171</v>
      </c>
      <c r="V78" s="55"/>
      <c r="W78" s="55" t="n">
        <f aca="false">SUM(X78)/'Project Information - 2'!$B$2</f>
        <v>1313.34606856558</v>
      </c>
      <c r="X78" s="55" t="n">
        <f aca="false">SUM(X73:X77)</f>
        <v>1314659.41463415</v>
      </c>
      <c r="Y78" s="55"/>
      <c r="Z78" s="55" t="n">
        <f aca="false">SUM(AA78)/'Project Information - 2'!$B$2</f>
        <v>1287.76189663995</v>
      </c>
      <c r="AA78" s="55" t="n">
        <f aca="false">SUM(AA73:AA77)</f>
        <v>1289049.65853659</v>
      </c>
      <c r="AB78" s="55"/>
      <c r="AC78" s="55" t="n">
        <f aca="false">SUM(AD78)/'Project Information - 2'!$B$2</f>
        <v>1518.01944397066</v>
      </c>
      <c r="AD78" s="55" t="n">
        <f aca="false">SUM(AD73:AD77)</f>
        <v>1519537.46341463</v>
      </c>
      <c r="AE78" s="55"/>
      <c r="AF78" s="55" t="n">
        <f aca="false">SUM(AG78)/'Project Information - 2'!$B$2</f>
        <v>8612.94072448527</v>
      </c>
      <c r="AG78" s="55" t="n">
        <f aca="false">SUM(AG73:AG77)</f>
        <v>8621553.66520976</v>
      </c>
      <c r="AH78" s="55"/>
      <c r="AI78" s="55" t="n">
        <f aca="false">SUM(AJ78)/'Project Information - 2'!$B$2</f>
        <v>5872.56085378037</v>
      </c>
      <c r="AJ78" s="55" t="n">
        <f aca="false">SUM(AJ73:AJ77)</f>
        <v>5878433.41463415</v>
      </c>
    </row>
    <row r="79" customFormat="false" ht="12.75" hidden="false" customHeight="true" outlineLevel="0" collapsed="false">
      <c r="A79" s="66"/>
      <c r="B79" s="52" t="s">
        <v>215</v>
      </c>
      <c r="C79" s="30"/>
      <c r="D79" s="11"/>
      <c r="E79" s="55" t="n">
        <f aca="false">SUM(F79)/'Project Information - 2'!$B$2</f>
        <v>3812.18781218781</v>
      </c>
      <c r="F79" s="55" t="n">
        <f aca="false">ROUNDUP(F78,-3)</f>
        <v>3816000</v>
      </c>
      <c r="G79" s="56"/>
      <c r="H79" s="55" t="n">
        <f aca="false">SUM(I79)/'Project Information - 2'!$B$2</f>
        <v>2640.35964035964</v>
      </c>
      <c r="I79" s="55" t="n">
        <f aca="false">ROUNDUP(I78,-3)</f>
        <v>2643000</v>
      </c>
      <c r="J79" s="55"/>
      <c r="K79" s="55" t="n">
        <f aca="false">SUM(L79)/'Project Information - 2'!$B$2</f>
        <v>2703.2967032967</v>
      </c>
      <c r="L79" s="55" t="n">
        <f aca="false">ROUNDUP(L78,-3)</f>
        <v>2706000</v>
      </c>
      <c r="M79" s="55"/>
      <c r="N79" s="55" t="n">
        <f aca="false">SUM(O79)/'Project Information - 2'!$B$2</f>
        <v>2659.34065934066</v>
      </c>
      <c r="O79" s="55" t="n">
        <f aca="false">ROUNDUP(O78,-3)</f>
        <v>2662000</v>
      </c>
      <c r="P79" s="55"/>
      <c r="Q79" s="55" t="n">
        <f aca="false">SUM(R79)/'Project Information - 2'!$B$2</f>
        <v>3332.66733266733</v>
      </c>
      <c r="R79" s="55" t="n">
        <f aca="false">ROUNDUP(R78,-3)</f>
        <v>3336000</v>
      </c>
      <c r="S79" s="55"/>
      <c r="T79" s="55" t="n">
        <f aca="false">SUM(U79)/'Project Information - 2'!$B$2</f>
        <v>1414.58541458541</v>
      </c>
      <c r="U79" s="55" t="n">
        <f aca="false">ROUNDUP(U78,-3)</f>
        <v>1416000</v>
      </c>
      <c r="V79" s="55"/>
      <c r="W79" s="55" t="n">
        <f aca="false">SUM(X79)/'Project Information - 2'!$B$2</f>
        <v>1313.68631368631</v>
      </c>
      <c r="X79" s="55" t="n">
        <f aca="false">ROUNDUP(X78,-3)</f>
        <v>1315000</v>
      </c>
      <c r="Y79" s="55"/>
      <c r="Z79" s="55" t="n">
        <f aca="false">SUM(AA79)/'Project Information - 2'!$B$2</f>
        <v>1288.71128871129</v>
      </c>
      <c r="AA79" s="55" t="n">
        <f aca="false">ROUNDUP(AA78,-3)</f>
        <v>1290000</v>
      </c>
      <c r="AB79" s="55"/>
      <c r="AC79" s="55" t="n">
        <f aca="false">SUM(AD79)/'Project Information - 2'!$B$2</f>
        <v>1518.48151848152</v>
      </c>
      <c r="AD79" s="55" t="n">
        <f aca="false">ROUNDUP(AD78,-3)</f>
        <v>1520000</v>
      </c>
      <c r="AE79" s="55"/>
      <c r="AF79" s="55" t="n">
        <f aca="false">SUM(AG79)/'Project Information - 2'!$B$2</f>
        <v>8613.38661338661</v>
      </c>
      <c r="AG79" s="55" t="n">
        <f aca="false">ROUNDUP(AG78,-3)</f>
        <v>8622000</v>
      </c>
      <c r="AH79" s="55"/>
      <c r="AI79" s="55" t="n">
        <f aca="false">SUM(AJ79)/'Project Information - 2'!$B$2</f>
        <v>5873.12687312687</v>
      </c>
      <c r="AJ79" s="55" t="n">
        <f aca="false">ROUNDUP(AJ78,-3)</f>
        <v>5879000</v>
      </c>
    </row>
    <row r="80" customFormat="false" ht="5.25" hidden="false" customHeight="true" outlineLevel="0" collapsed="false">
      <c r="E80" s="84"/>
      <c r="F80" s="85"/>
      <c r="G80" s="86"/>
      <c r="H80" s="84"/>
      <c r="I80" s="87"/>
      <c r="J80" s="86"/>
      <c r="K80" s="84"/>
      <c r="L80" s="87"/>
      <c r="M80" s="86"/>
      <c r="N80" s="84"/>
      <c r="O80" s="87"/>
      <c r="P80" s="86"/>
      <c r="Q80" s="84"/>
      <c r="R80" s="87"/>
      <c r="S80" s="86"/>
      <c r="T80" s="84"/>
      <c r="U80" s="87"/>
      <c r="V80" s="86"/>
      <c r="W80" s="84"/>
      <c r="X80" s="87"/>
      <c r="Y80" s="86"/>
      <c r="Z80" s="84"/>
      <c r="AA80" s="87"/>
      <c r="AB80" s="86"/>
      <c r="AC80" s="84"/>
      <c r="AD80" s="87"/>
      <c r="AE80" s="86"/>
      <c r="AF80" s="88"/>
      <c r="AG80" s="89"/>
      <c r="AH80" s="90"/>
      <c r="AI80" s="88"/>
      <c r="AJ80" s="89"/>
    </row>
    <row r="81" customFormat="false" ht="12.75" hidden="false" customHeight="true" outlineLevel="0" collapsed="false">
      <c r="A81" s="6" t="s">
        <v>216</v>
      </c>
      <c r="B81" s="66" t="s">
        <v>217</v>
      </c>
      <c r="C81" s="30"/>
      <c r="D81" s="11"/>
      <c r="E81" s="55"/>
      <c r="F81" s="55"/>
      <c r="G81" s="56"/>
      <c r="H81" s="55"/>
      <c r="I81" s="55" t="n">
        <f aca="false">I79-$F$79</f>
        <v>-1173000</v>
      </c>
      <c r="J81" s="55"/>
      <c r="K81" s="55"/>
      <c r="L81" s="55" t="n">
        <f aca="false">L79-$F$79</f>
        <v>-1110000</v>
      </c>
      <c r="M81" s="55"/>
      <c r="N81" s="55"/>
      <c r="O81" s="55" t="n">
        <f aca="false">O79-$F$79</f>
        <v>-1154000</v>
      </c>
      <c r="P81" s="55"/>
      <c r="Q81" s="55"/>
      <c r="R81" s="55" t="n">
        <f aca="false">R79-$F$79</f>
        <v>-480000</v>
      </c>
      <c r="S81" s="55"/>
      <c r="T81" s="55"/>
      <c r="U81" s="55" t="n">
        <f aca="false">U79-$F$79</f>
        <v>-2400000</v>
      </c>
      <c r="V81" s="55"/>
      <c r="W81" s="55"/>
      <c r="X81" s="55" t="n">
        <f aca="false">X79-$F$79</f>
        <v>-2501000</v>
      </c>
      <c r="Y81" s="55"/>
      <c r="Z81" s="55"/>
      <c r="AA81" s="55" t="n">
        <f aca="false">AA79-$F$79</f>
        <v>-2526000</v>
      </c>
      <c r="AB81" s="55"/>
      <c r="AC81" s="55"/>
      <c r="AD81" s="55" t="n">
        <f aca="false">AD79-$F$79</f>
        <v>-2296000</v>
      </c>
      <c r="AE81" s="55"/>
      <c r="AF81" s="55"/>
      <c r="AG81" s="55"/>
      <c r="AH81" s="55"/>
      <c r="AI81" s="55"/>
      <c r="AJ81" s="55"/>
    </row>
    <row r="84" customFormat="false" ht="12" hidden="false" customHeight="true" outlineLevel="0" collapsed="false">
      <c r="I84" s="40"/>
      <c r="L84" s="40"/>
      <c r="O84" s="40"/>
      <c r="R84" s="40"/>
      <c r="U84" s="40"/>
      <c r="X84" s="40"/>
      <c r="AA84" s="40"/>
      <c r="AD84" s="40"/>
    </row>
    <row r="85" customFormat="false" ht="12" hidden="false" customHeight="true" outlineLevel="0" collapsed="false">
      <c r="I85" s="40"/>
      <c r="L85" s="40"/>
      <c r="O85" s="40"/>
      <c r="R85" s="40"/>
      <c r="U85" s="40"/>
      <c r="X85" s="40"/>
      <c r="AA85" s="40"/>
      <c r="AD85" s="40"/>
    </row>
    <row r="86" customFormat="false" ht="12" hidden="false" customHeight="true" outlineLevel="0" collapsed="false">
      <c r="I86" s="40"/>
      <c r="L86" s="40"/>
      <c r="O86" s="40"/>
      <c r="R86" s="40"/>
      <c r="U86" s="40"/>
      <c r="X86" s="40"/>
      <c r="AA86" s="40"/>
      <c r="AD86" s="40"/>
    </row>
    <row r="88" customFormat="false" ht="12" hidden="false" customHeight="true" outlineLevel="0" collapsed="false">
      <c r="I88" s="40"/>
      <c r="L88" s="40"/>
      <c r="O88" s="40"/>
      <c r="R88" s="40"/>
      <c r="U88" s="40"/>
      <c r="X88" s="40"/>
      <c r="AA88" s="40"/>
      <c r="AD88" s="40"/>
    </row>
    <row r="90" customFormat="false" ht="12.75" hidden="false" customHeight="true" outlineLevel="0" collapsed="false">
      <c r="F90" s="91"/>
      <c r="G90" s="44"/>
      <c r="H90" s="92"/>
      <c r="I90" s="91"/>
      <c r="J90" s="44"/>
      <c r="K90" s="92"/>
      <c r="L90" s="91"/>
      <c r="M90" s="44"/>
      <c r="N90" s="92"/>
      <c r="O90" s="91"/>
      <c r="P90" s="44"/>
      <c r="Q90" s="92"/>
      <c r="R90" s="91"/>
      <c r="S90" s="44"/>
      <c r="T90" s="92"/>
      <c r="U90" s="91"/>
      <c r="V90" s="44"/>
      <c r="W90" s="92"/>
      <c r="X90" s="91"/>
      <c r="Y90" s="44"/>
      <c r="Z90" s="92"/>
      <c r="AA90" s="91"/>
      <c r="AB90" s="44"/>
      <c r="AC90" s="92"/>
      <c r="AD90" s="91"/>
    </row>
    <row r="91" customFormat="false" ht="12" hidden="false" customHeight="true" outlineLevel="0" collapsed="false"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</row>
  </sheetData>
  <mergeCells count="13">
    <mergeCell ref="E3:F3"/>
    <mergeCell ref="H3:I3"/>
    <mergeCell ref="K3:L3"/>
    <mergeCell ref="N3:O3"/>
    <mergeCell ref="Q3:R3"/>
    <mergeCell ref="T3:U3"/>
    <mergeCell ref="W3:X3"/>
    <mergeCell ref="Z3:AA3"/>
    <mergeCell ref="AC3:AD3"/>
    <mergeCell ref="AF3:AG3"/>
    <mergeCell ref="AI3:AJ3"/>
    <mergeCell ref="AL3:AM3"/>
    <mergeCell ref="AN3:AO3"/>
  </mergeCells>
  <conditionalFormatting sqref="AA19:AA20">
    <cfRule type="cellIs" priority="2" operator="lessThan" aboveAverage="0" equalAverage="0" bottom="0" percent="0" rank="0" text="" dxfId="0">
      <formula>$AN19</formula>
    </cfRule>
    <cfRule type="cellIs" priority="3" operator="lessThan" aboveAverage="0" equalAverage="0" bottom="0" percent="0" rank="0" text="" dxfId="1">
      <formula>$AL19</formula>
    </cfRule>
    <cfRule type="cellIs" priority="4" operator="greaterThan" aboveAverage="0" equalAverage="0" bottom="0" percent="0" rank="0" text="" dxfId="2">
      <formula>$AO19</formula>
    </cfRule>
    <cfRule type="cellIs" priority="5" operator="greaterThan" aboveAverage="0" equalAverage="0" bottom="0" percent="0" rank="0" text="" dxfId="3">
      <formula>$AM19</formula>
    </cfRule>
  </conditionalFormatting>
  <conditionalFormatting sqref="AD19:AD20">
    <cfRule type="cellIs" priority="6" operator="lessThan" aboveAverage="0" equalAverage="0" bottom="0" percent="0" rank="0" text="" dxfId="0">
      <formula>$AN19</formula>
    </cfRule>
    <cfRule type="cellIs" priority="7" operator="lessThan" aboveAverage="0" equalAverage="0" bottom="0" percent="0" rank="0" text="" dxfId="1">
      <formula>$AL19</formula>
    </cfRule>
    <cfRule type="cellIs" priority="8" operator="greaterThan" aboveAverage="0" equalAverage="0" bottom="0" percent="0" rank="0" text="" dxfId="2">
      <formula>$AO19</formula>
    </cfRule>
    <cfRule type="cellIs" priority="9" operator="greaterThan" aboveAverage="0" equalAverage="0" bottom="0" percent="0" rank="0" text="" dxfId="3">
      <formula>$AM19</formula>
    </cfRule>
  </conditionalFormatting>
  <conditionalFormatting sqref="X19:X20">
    <cfRule type="cellIs" priority="10" operator="lessThan" aboveAverage="0" equalAverage="0" bottom="0" percent="0" rank="0" text="" dxfId="0">
      <formula>$AN19</formula>
    </cfRule>
    <cfRule type="cellIs" priority="11" operator="lessThan" aboveAverage="0" equalAverage="0" bottom="0" percent="0" rank="0" text="" dxfId="1">
      <formula>$AL19</formula>
    </cfRule>
    <cfRule type="cellIs" priority="12" operator="greaterThan" aboveAverage="0" equalAverage="0" bottom="0" percent="0" rank="0" text="" dxfId="2">
      <formula>$AO19</formula>
    </cfRule>
    <cfRule type="cellIs" priority="13" operator="greaterThan" aboveAverage="0" equalAverage="0" bottom="0" percent="0" rank="0" text="" dxfId="3">
      <formula>$AM19</formula>
    </cfRule>
  </conditionalFormatting>
  <conditionalFormatting sqref="U19:U20">
    <cfRule type="cellIs" priority="14" operator="lessThan" aboveAverage="0" equalAverage="0" bottom="0" percent="0" rank="0" text="" dxfId="0">
      <formula>$AN19</formula>
    </cfRule>
    <cfRule type="cellIs" priority="15" operator="lessThan" aboveAverage="0" equalAverage="0" bottom="0" percent="0" rank="0" text="" dxfId="1">
      <formula>$AL19</formula>
    </cfRule>
    <cfRule type="cellIs" priority="16" operator="greaterThan" aboveAverage="0" equalAverage="0" bottom="0" percent="0" rank="0" text="" dxfId="2">
      <formula>$AO19</formula>
    </cfRule>
    <cfRule type="cellIs" priority="17" operator="greaterThan" aboveAverage="0" equalAverage="0" bottom="0" percent="0" rank="0" text="" dxfId="3">
      <formula>$AM19</formula>
    </cfRule>
  </conditionalFormatting>
  <conditionalFormatting sqref="R19:R20">
    <cfRule type="cellIs" priority="18" operator="lessThan" aboveAverage="0" equalAverage="0" bottom="0" percent="0" rank="0" text="" dxfId="0">
      <formula>$AN19</formula>
    </cfRule>
    <cfRule type="cellIs" priority="19" operator="lessThan" aboveAverage="0" equalAverage="0" bottom="0" percent="0" rank="0" text="" dxfId="1">
      <formula>$AL19</formula>
    </cfRule>
    <cfRule type="cellIs" priority="20" operator="greaterThan" aboveAverage="0" equalAverage="0" bottom="0" percent="0" rank="0" text="" dxfId="2">
      <formula>$AO19</formula>
    </cfRule>
    <cfRule type="cellIs" priority="21" operator="greaterThan" aboveAverage="0" equalAverage="0" bottom="0" percent="0" rank="0" text="" dxfId="3">
      <formula>$AM19</formula>
    </cfRule>
  </conditionalFormatting>
  <conditionalFormatting sqref="O19:O20">
    <cfRule type="cellIs" priority="22" operator="lessThan" aboveAverage="0" equalAverage="0" bottom="0" percent="0" rank="0" text="" dxfId="0">
      <formula>$AN19</formula>
    </cfRule>
    <cfRule type="cellIs" priority="23" operator="lessThan" aboveAverage="0" equalAverage="0" bottom="0" percent="0" rank="0" text="" dxfId="1">
      <formula>$AL19</formula>
    </cfRule>
    <cfRule type="cellIs" priority="24" operator="greaterThan" aboveAverage="0" equalAverage="0" bottom="0" percent="0" rank="0" text="" dxfId="2">
      <formula>$AO19</formula>
    </cfRule>
    <cfRule type="cellIs" priority="25" operator="greaterThan" aboveAverage="0" equalAverage="0" bottom="0" percent="0" rank="0" text="" dxfId="3">
      <formula>$AM19</formula>
    </cfRule>
  </conditionalFormatting>
  <conditionalFormatting sqref="L19:L20">
    <cfRule type="cellIs" priority="26" operator="lessThan" aboveAverage="0" equalAverage="0" bottom="0" percent="0" rank="0" text="" dxfId="0">
      <formula>$AN19</formula>
    </cfRule>
    <cfRule type="cellIs" priority="27" operator="lessThan" aboveAverage="0" equalAverage="0" bottom="0" percent="0" rank="0" text="" dxfId="1">
      <formula>$AL19</formula>
    </cfRule>
    <cfRule type="cellIs" priority="28" operator="greaterThan" aboveAverage="0" equalAverage="0" bottom="0" percent="0" rank="0" text="" dxfId="2">
      <formula>$AO19</formula>
    </cfRule>
    <cfRule type="cellIs" priority="29" operator="greaterThan" aboveAverage="0" equalAverage="0" bottom="0" percent="0" rank="0" text="" dxfId="3">
      <formula>$AM19</formula>
    </cfRule>
  </conditionalFormatting>
  <hyperlinks>
    <hyperlink ref="A6" location="'0.1 Demolition &amp; alterations'!A1" display="#'0.1 Demolition &amp; alterations'.A1"/>
    <hyperlink ref="A8" location="'1.1 Substructure'!A1" display="#'1.1 Substructure'.A1"/>
    <hyperlink ref="A10" location="'2.1 Frame'!A1" display="#'2.1 Frame'.A1"/>
    <hyperlink ref="A11" location="'2.2 Upper floors'!A1" display="#'2.2 Upper floors'.A1"/>
    <hyperlink ref="A12" location="'2.3 Roof'!A1" display="#'2.3 Roof'.A1"/>
    <hyperlink ref="A13" location="'2.4 Stairs and Ramps'!A1" display="#'2.4 Stairs and Ramps'.A1"/>
    <hyperlink ref="A14" location="'2.5 External walls'!A1" display="#'2.5 External walls'.A1"/>
    <hyperlink ref="A15" location="'2.6 Windows &amp; external Doors'!A1" display="#'2.6 Windows &amp; external Doors'.A1"/>
    <hyperlink ref="A16" location="'2.7 Internal Walls &amp; Partitions'!A1" display="#'2.7 Internal Walls &amp; Partitions'.A1"/>
    <hyperlink ref="A17" location="'2.8 Internal Doors'!A1" display="#'2.8 Internal Doors'.A1"/>
    <hyperlink ref="A19" location="'3.1 Wall Finishes'!A1" display="#'3.1 Wall Finishes'.A1"/>
    <hyperlink ref="A20" location="'3.2 Floor Finishes'!A1" display="#'3.2 Floor Finishes'.A1"/>
    <hyperlink ref="A21" location="'3.3 Ceiling finishes'!A1" display="#'3.3 Ceiling finishes'.A1"/>
    <hyperlink ref="A23" location="'4.1 Fittings, furnishings and e'!A1" display="#'4.1 Fittings, furnishings and e'.A1"/>
    <hyperlink ref="A25" location="'5.1 Sanitary installations'!A1" display="#'5.1 Sanitary installations'.A1"/>
    <hyperlink ref="A26" location="'5.2 Services equipment'!A1" display="#'5.2 Services equipment'.A1"/>
    <hyperlink ref="A27" location="'5.3 Electrical Installations'!A1" display="#'5.3 Electrical Installations'.A1"/>
    <hyperlink ref="A28" location="'5.4 Mechanical Installations'!A1" display="#'5.4 Mechanical Installations'.A1"/>
    <hyperlink ref="A29" location="'5.5 Lift &amp; conveyor'!A1" display="#'5.5 Lift &amp; conveyor'.A1"/>
    <hyperlink ref="A30" location="'5.6 Fire &amp; lightning protection'!A1" display="#'5.6 Fire &amp; lightning protection'.A1"/>
    <hyperlink ref="A31" location="'5.7 Communication security'!A1" display="#'5.7 Communication security'.A1"/>
    <hyperlink ref="A32" location="'5.8 Specialist installations'!A1" display="#'5.8 Specialist installations'.A1"/>
    <hyperlink ref="A33" location="'5.9 BWIC with services'!A1" display="#'5.9 BWIC with services'.A1"/>
    <hyperlink ref="A36" location="'6.1 Prefab buildings &amp; units'!A1" display="#'6.1 Prefab buildings &amp; units'.A1"/>
    <hyperlink ref="A38" location="'7.1 Minor demolition'!A1" display="#'7.1 Minor demolition'.A1"/>
    <hyperlink ref="A39" location="'7.2 Repairs to existing'!A1" display="#'7.2 Repairs to existing'.A1"/>
    <hyperlink ref="A40" location="'7.3 Damp proof courses'!A1" display="#'7.3 Damp proof courses'.A1"/>
    <hyperlink ref="A41" location="'7.4 Facade retention'!A1" display="#'7.4 Facade retention'.A1"/>
    <hyperlink ref="A42" location="'7.5 Cleaning existing surfaces'!A1" display="#'7.5 Cleaning existing surfaces'.A1"/>
    <hyperlink ref="A43" location="'7.6 Renovation works'!A1" display="#'7.6 Renovation works'.A1"/>
    <hyperlink ref="A45" location="'8.1 Site preparation works'!A1" display="#'8.1 Site preparation works'.A1"/>
    <hyperlink ref="A46" location="'8.2 Roads paths pavings'!A1" display="#'8.2 Roads paths pavings'.A1"/>
    <hyperlink ref="A47" location="'8.3 Soft landscapes planting'!A1" display="#'8.3 Soft landscapes planting'.A1"/>
    <hyperlink ref="A48" location="'8.4 Fencing railings &amp; walls'!A1" display="#'8.4 Fencing railings &amp; walls'.A1"/>
    <hyperlink ref="A49" location="'8.5 External fixtures'!A1" display="#'8.5 External fixtures'.A1"/>
    <hyperlink ref="A50" location="'8.6 External drainage'!A1" display="#'8.6 External drainage'.A1"/>
    <hyperlink ref="A51" location="'8.7 External services'!A1" display="#'8.7 External services'.A1"/>
    <hyperlink ref="A52" location="'8.8 Minor building &amp; ancillary'!A1" display="#'8.8 Minor building &amp; ancillary'.A1"/>
    <hyperlink ref="A60" location="'11.1 Consultant fees'!A1" display="#'11.1 Consultant fees'.A1"/>
    <hyperlink ref="A61" location="'11.2 Main contrator''s pre-const'!A1" display="#'11.2 Main contrator''s pre-const'.A1"/>
    <hyperlink ref="A62" location="'11.3 Main contrator''s design fe'!A1" display="#'11.3 Main contrator''s design fe'.A1"/>
    <hyperlink ref="A67" location="'13.1 Design development risks'!A1" display="#'13.1 Design development risks'.A1"/>
    <hyperlink ref="A68" location="'13.2 Construction risks'!A1" display="#'13.2 Construction risks'.A1"/>
    <hyperlink ref="A71" location="'14.1 Tender Inflation'!A1" display="#'14.1 Tender Inflation'.A1"/>
    <hyperlink ref="A72" location="'14.2 Construction Inflation'!A1" display="#'14.2 Construction Inflation'.A1"/>
  </hyperlinks>
  <printOptions headings="false" gridLines="false" gridLinesSet="true" horizontalCentered="false" verticalCentered="false"/>
  <pageMargins left="0.236111111111111" right="0.236111111111111" top="0.595833333333333" bottom="0.748611111111111" header="0.511811023622047" footer="0.315277777777778"/>
  <pageSetup paperSize="8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&amp;N&amp;R&amp;"Arial,Regular"&amp;8 &amp;D</oddFooter>
  </headerFooter>
  <colBreaks count="1" manualBreakCount="1">
    <brk id="2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3:A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7.18359375" defaultRowHeight="11.25" zeroHeight="false" outlineLevelRow="0" outlineLevelCol="0"/>
  <cols>
    <col collapsed="false" customWidth="true" hidden="false" outlineLevel="0" max="1" min="1" style="93" width="5.27"/>
    <col collapsed="false" customWidth="true" hidden="false" outlineLevel="0" max="2" min="2" style="50" width="3.54"/>
    <col collapsed="false" customWidth="true" hidden="false" outlineLevel="0" max="3" min="3" style="94" width="46.82"/>
    <col collapsed="false" customWidth="true" hidden="false" outlineLevel="0" max="4" min="4" style="95" width="9.45"/>
    <col collapsed="false" customWidth="true" hidden="false" outlineLevel="0" max="5" min="5" style="34" width="9.45"/>
    <col collapsed="false" customWidth="true" hidden="false" outlineLevel="0" max="6" min="6" style="96" width="12.45"/>
    <col collapsed="false" customWidth="true" hidden="false" outlineLevel="0" max="7" min="7" style="96" width="12.54"/>
    <col collapsed="false" customWidth="true" hidden="false" outlineLevel="0" max="8" min="8" style="96" width="1.45"/>
    <col collapsed="false" customWidth="true" hidden="false" outlineLevel="0" max="9" min="9" style="95" width="9.45"/>
    <col collapsed="false" customWidth="true" hidden="false" outlineLevel="0" max="10" min="10" style="34" width="9.45"/>
    <col collapsed="false" customWidth="true" hidden="false" outlineLevel="0" max="11" min="11" style="96" width="12.45"/>
    <col collapsed="false" customWidth="true" hidden="false" outlineLevel="0" max="12" min="12" style="96" width="12.54"/>
    <col collapsed="false" customWidth="true" hidden="false" outlineLevel="0" max="13" min="13" style="96" width="1.45"/>
    <col collapsed="false" customWidth="true" hidden="false" outlineLevel="0" max="14" min="14" style="95" width="9.45"/>
    <col collapsed="false" customWidth="true" hidden="false" outlineLevel="0" max="15" min="15" style="34" width="9.45"/>
    <col collapsed="false" customWidth="true" hidden="false" outlineLevel="0" max="16" min="16" style="96" width="12.45"/>
    <col collapsed="false" customWidth="true" hidden="false" outlineLevel="0" max="17" min="17" style="96" width="12.54"/>
    <col collapsed="false" customWidth="true" hidden="false" outlineLevel="0" max="18" min="18" style="96" width="1.45"/>
    <col collapsed="false" customWidth="true" hidden="false" outlineLevel="0" max="19" min="19" style="95" width="9.45"/>
    <col collapsed="false" customWidth="true" hidden="false" outlineLevel="0" max="20" min="20" style="34" width="9.45"/>
    <col collapsed="false" customWidth="true" hidden="false" outlineLevel="0" max="21" min="21" style="96" width="12.45"/>
    <col collapsed="false" customWidth="true" hidden="false" outlineLevel="0" max="22" min="22" style="96" width="12.54"/>
    <col collapsed="false" customWidth="true" hidden="false" outlineLevel="0" max="23" min="23" style="96" width="1.45"/>
    <col collapsed="false" customWidth="true" hidden="false" outlineLevel="0" max="24" min="24" style="95" width="9.45"/>
    <col collapsed="false" customWidth="true" hidden="false" outlineLevel="0" max="25" min="25" style="34" width="9.45"/>
    <col collapsed="false" customWidth="true" hidden="false" outlineLevel="0" max="26" min="26" style="96" width="12.45"/>
    <col collapsed="false" customWidth="true" hidden="false" outlineLevel="0" max="27" min="27" style="96" width="12.54"/>
    <col collapsed="false" customWidth="true" hidden="false" outlineLevel="0" max="28" min="28" style="96" width="1.45"/>
    <col collapsed="false" customWidth="true" hidden="false" outlineLevel="0" max="29" min="29" style="95" width="9.45"/>
    <col collapsed="false" customWidth="true" hidden="false" outlineLevel="0" max="30" min="30" style="34" width="9.45"/>
    <col collapsed="false" customWidth="true" hidden="false" outlineLevel="0" max="31" min="31" style="96" width="12.45"/>
    <col collapsed="false" customWidth="true" hidden="false" outlineLevel="0" max="32" min="32" style="96" width="12.54"/>
    <col collapsed="false" customWidth="true" hidden="false" outlineLevel="0" max="33" min="33" style="96" width="1.45"/>
    <col collapsed="false" customWidth="true" hidden="false" outlineLevel="0" max="34" min="34" style="95" width="9.45"/>
    <col collapsed="false" customWidth="true" hidden="false" outlineLevel="0" max="35" min="35" style="34" width="9.45"/>
    <col collapsed="false" customWidth="true" hidden="false" outlineLevel="0" max="36" min="36" style="96" width="12.45"/>
    <col collapsed="false" customWidth="true" hidden="false" outlineLevel="0" max="37" min="37" style="96" width="12.54"/>
    <col collapsed="false" customWidth="true" hidden="false" outlineLevel="0" max="38" min="38" style="96" width="1.45"/>
    <col collapsed="false" customWidth="true" hidden="false" outlineLevel="0" max="39" min="39" style="95" width="9.45"/>
    <col collapsed="false" customWidth="true" hidden="false" outlineLevel="0" max="40" min="40" style="34" width="9.45"/>
    <col collapsed="false" customWidth="true" hidden="false" outlineLevel="0" max="41" min="41" style="96" width="12.45"/>
    <col collapsed="false" customWidth="true" hidden="false" outlineLevel="0" max="42" min="42" style="96" width="12.54"/>
    <col collapsed="false" customWidth="true" hidden="false" outlineLevel="0" max="43" min="43" style="96" width="1.45"/>
    <col collapsed="false" customWidth="false" hidden="false" outlineLevel="0" max="16384" min="44" style="6" width="7.18"/>
  </cols>
  <sheetData>
    <row r="3" s="11" customFormat="true" ht="15.75" hidden="false" customHeight="true" outlineLevel="0" collapsed="false">
      <c r="A3" s="97"/>
      <c r="B3" s="30"/>
      <c r="C3" s="98"/>
      <c r="D3" s="98"/>
      <c r="E3" s="99" t="str">
        <f aca="false">SUMMARY!E3</f>
        <v>Sample Cost Plan - Elm Court Residential, Rev 01</v>
      </c>
      <c r="F3" s="99"/>
      <c r="G3" s="99"/>
      <c r="H3" s="99"/>
      <c r="I3" s="100"/>
      <c r="J3" s="99" t="str">
        <f aca="false">SUMMARY!K3</f>
        <v>Ridgeway Construction</v>
      </c>
      <c r="K3" s="99"/>
      <c r="L3" s="99"/>
      <c r="M3" s="99"/>
      <c r="N3" s="100"/>
      <c r="O3" s="99" t="str">
        <f aca="false">SUMMARY!N3</f>
        <v>Brightstone Builders</v>
      </c>
      <c r="P3" s="99"/>
      <c r="Q3" s="99"/>
      <c r="R3" s="99"/>
      <c r="S3" s="100"/>
      <c r="T3" s="99" t="str">
        <f aca="false">SUMMARY!Q3</f>
        <v>Kestrel Contractors</v>
      </c>
      <c r="U3" s="99"/>
      <c r="V3" s="99"/>
      <c r="W3" s="99"/>
      <c r="X3" s="100"/>
      <c r="Y3" s="99" t="str">
        <f aca="false">SUMMARY!T3</f>
        <v>INSERT CONTRACTOR 4</v>
      </c>
      <c r="Z3" s="99"/>
      <c r="AA3" s="99"/>
      <c r="AB3" s="99"/>
      <c r="AC3" s="100"/>
      <c r="AD3" s="99" t="str">
        <f aca="false">SUMMARY!W3</f>
        <v>INSERT CONTRACTOR 5</v>
      </c>
      <c r="AE3" s="99"/>
      <c r="AF3" s="99"/>
      <c r="AG3" s="99"/>
      <c r="AH3" s="100"/>
      <c r="AI3" s="99" t="str">
        <f aca="false">SUMMARY!Z3</f>
        <v>INSERT CONTRACTOR 6</v>
      </c>
      <c r="AJ3" s="99"/>
      <c r="AK3" s="99"/>
      <c r="AL3" s="99"/>
      <c r="AM3" s="100"/>
      <c r="AN3" s="99" t="str">
        <f aca="false">SUMMARY!AC3</f>
        <v>INSERT CONTRACTOR 7</v>
      </c>
      <c r="AO3" s="99"/>
      <c r="AP3" s="99"/>
      <c r="AQ3" s="99"/>
      <c r="AR3" s="100"/>
    </row>
    <row r="4" s="11" customFormat="true" ht="15.75" hidden="false" customHeight="true" outlineLevel="0" collapsed="false">
      <c r="A4" s="97" t="n">
        <v>3.1</v>
      </c>
      <c r="B4" s="101"/>
      <c r="C4" s="102" t="str">
        <f aca="true" t="array" ref="C4:C4">MID(CELL("filename",B3),FIND("]",CELL("filename",B3))+1,255)</f>
        <v>Adjustments</v>
      </c>
      <c r="D4" s="100" t="s">
        <v>112</v>
      </c>
      <c r="E4" s="98" t="s">
        <v>113</v>
      </c>
      <c r="F4" s="103" t="s">
        <v>218</v>
      </c>
      <c r="G4" s="103" t="s">
        <v>177</v>
      </c>
      <c r="H4" s="103"/>
      <c r="I4" s="100" t="s">
        <v>112</v>
      </c>
      <c r="J4" s="98" t="s">
        <v>113</v>
      </c>
      <c r="K4" s="103" t="s">
        <v>218</v>
      </c>
      <c r="L4" s="103" t="s">
        <v>177</v>
      </c>
      <c r="M4" s="103"/>
      <c r="N4" s="100" t="s">
        <v>112</v>
      </c>
      <c r="O4" s="98" t="s">
        <v>113</v>
      </c>
      <c r="P4" s="103" t="s">
        <v>218</v>
      </c>
      <c r="Q4" s="103" t="s">
        <v>177</v>
      </c>
      <c r="R4" s="103"/>
      <c r="S4" s="100" t="s">
        <v>112</v>
      </c>
      <c r="T4" s="98" t="s">
        <v>113</v>
      </c>
      <c r="U4" s="103" t="s">
        <v>218</v>
      </c>
      <c r="V4" s="103" t="s">
        <v>177</v>
      </c>
      <c r="W4" s="103"/>
      <c r="X4" s="100" t="s">
        <v>112</v>
      </c>
      <c r="Y4" s="98" t="s">
        <v>113</v>
      </c>
      <c r="Z4" s="103" t="s">
        <v>218</v>
      </c>
      <c r="AA4" s="103" t="s">
        <v>177</v>
      </c>
      <c r="AB4" s="103"/>
      <c r="AC4" s="100" t="s">
        <v>112</v>
      </c>
      <c r="AD4" s="98" t="s">
        <v>113</v>
      </c>
      <c r="AE4" s="103" t="s">
        <v>218</v>
      </c>
      <c r="AF4" s="103" t="s">
        <v>177</v>
      </c>
      <c r="AG4" s="103"/>
      <c r="AH4" s="100" t="s">
        <v>112</v>
      </c>
      <c r="AI4" s="98" t="s">
        <v>113</v>
      </c>
      <c r="AJ4" s="103" t="s">
        <v>218</v>
      </c>
      <c r="AK4" s="103" t="s">
        <v>177</v>
      </c>
      <c r="AL4" s="103"/>
      <c r="AM4" s="100" t="s">
        <v>112</v>
      </c>
      <c r="AN4" s="98" t="s">
        <v>113</v>
      </c>
      <c r="AO4" s="103" t="s">
        <v>218</v>
      </c>
      <c r="AP4" s="103" t="s">
        <v>177</v>
      </c>
      <c r="AQ4" s="103"/>
    </row>
    <row r="5" customFormat="false" ht="11.25" hidden="false" customHeight="true" outlineLevel="0" collapsed="false">
      <c r="B5" s="104" t="str">
        <f aca="false">IF(C5&gt;0,IF(D5&gt;0,MAX($B$3:B4)+1," ")," ")</f>
        <v> </v>
      </c>
      <c r="C5" s="105"/>
      <c r="D5" s="106"/>
      <c r="E5" s="37"/>
      <c r="F5" s="107"/>
      <c r="G5" s="108" t="str">
        <f aca="false">IF(ISBLANK(D5),"",D5*F5)</f>
        <v/>
      </c>
      <c r="H5" s="103"/>
      <c r="I5" s="106"/>
      <c r="J5" s="37"/>
      <c r="K5" s="107"/>
      <c r="L5" s="108" t="str">
        <f aca="false">IF(ISBLANK(I5),"",I5*K5)</f>
        <v/>
      </c>
      <c r="M5" s="103"/>
      <c r="N5" s="106"/>
      <c r="O5" s="37"/>
      <c r="P5" s="107"/>
      <c r="Q5" s="108" t="str">
        <f aca="false">IF(ISBLANK(N5),"",N5*P5)</f>
        <v/>
      </c>
      <c r="R5" s="103"/>
      <c r="S5" s="106"/>
      <c r="T5" s="37"/>
      <c r="U5" s="107"/>
      <c r="V5" s="108" t="str">
        <f aca="false">IF(ISBLANK(S5),"",S5*U5)</f>
        <v/>
      </c>
      <c r="W5" s="103"/>
      <c r="X5" s="106"/>
      <c r="Y5" s="37"/>
      <c r="Z5" s="107"/>
      <c r="AA5" s="108" t="str">
        <f aca="false">IF(ISBLANK(X5),"",X5*Z5)</f>
        <v/>
      </c>
      <c r="AB5" s="103"/>
      <c r="AC5" s="106"/>
      <c r="AD5" s="37"/>
      <c r="AE5" s="107"/>
      <c r="AF5" s="108" t="str">
        <f aca="false">IF(ISBLANK(AC5),"",AC5*AE5)</f>
        <v/>
      </c>
      <c r="AG5" s="103"/>
      <c r="AH5" s="106"/>
      <c r="AI5" s="37"/>
      <c r="AJ5" s="107"/>
      <c r="AK5" s="108" t="str">
        <f aca="false">IF(ISBLANK(AH5),"",AH5*AJ5)</f>
        <v/>
      </c>
      <c r="AL5" s="103"/>
      <c r="AM5" s="106"/>
      <c r="AN5" s="37"/>
      <c r="AO5" s="107"/>
      <c r="AP5" s="108" t="str">
        <f aca="false">IF(ISBLANK(AM5),"",AM5*AO5)</f>
        <v/>
      </c>
      <c r="AQ5" s="103"/>
    </row>
    <row r="6" customFormat="false" ht="11.25" hidden="false" customHeight="true" outlineLevel="0" collapsed="false">
      <c r="A6" s="93" t="n">
        <f aca="false">IF(C6&lt;&gt;"",$A$4,"")</f>
        <v>3.1</v>
      </c>
      <c r="B6" s="109" t="str">
        <f aca="false">IF(C6&gt;0,IF(D6&gt;0,MAX($B$3:B5)+1," ")," ")</f>
        <v> </v>
      </c>
      <c r="C6" s="110" t="str">
        <f aca="false">C4</f>
        <v>Adjustments</v>
      </c>
      <c r="D6" s="111"/>
      <c r="E6" s="36"/>
      <c r="F6" s="108"/>
      <c r="G6" s="108" t="str">
        <f aca="false">IF(ISBLANK(D6),"",D6*F6)</f>
        <v/>
      </c>
      <c r="H6" s="103"/>
      <c r="I6" s="111"/>
      <c r="J6" s="36"/>
      <c r="K6" s="108"/>
      <c r="L6" s="108" t="str">
        <f aca="false">IF(ISBLANK(I6),"",I6*K6)</f>
        <v/>
      </c>
      <c r="M6" s="103"/>
      <c r="N6" s="111"/>
      <c r="O6" s="36"/>
      <c r="P6" s="108"/>
      <c r="Q6" s="108" t="str">
        <f aca="false">IF(ISBLANK(N6),"",N6*P6)</f>
        <v/>
      </c>
      <c r="R6" s="103"/>
      <c r="S6" s="111"/>
      <c r="T6" s="36"/>
      <c r="U6" s="108"/>
      <c r="V6" s="108" t="str">
        <f aca="false">IF(ISBLANK(S6),"",S6*U6)</f>
        <v/>
      </c>
      <c r="W6" s="103"/>
      <c r="X6" s="111"/>
      <c r="Y6" s="36"/>
      <c r="Z6" s="108"/>
      <c r="AA6" s="108" t="str">
        <f aca="false">IF(ISBLANK(X6),"",X6*Z6)</f>
        <v/>
      </c>
      <c r="AB6" s="103"/>
      <c r="AC6" s="111"/>
      <c r="AD6" s="36"/>
      <c r="AE6" s="108"/>
      <c r="AF6" s="108" t="str">
        <f aca="false">IF(ISBLANK(AC6),"",AC6*AE6)</f>
        <v/>
      </c>
      <c r="AG6" s="103"/>
      <c r="AH6" s="111"/>
      <c r="AI6" s="36"/>
      <c r="AJ6" s="108"/>
      <c r="AK6" s="108" t="str">
        <f aca="false">IF(ISBLANK(AH6),"",AH6*AJ6)</f>
        <v/>
      </c>
      <c r="AL6" s="103"/>
      <c r="AM6" s="111"/>
      <c r="AN6" s="36"/>
      <c r="AO6" s="108"/>
      <c r="AP6" s="108" t="str">
        <f aca="false">IF(ISBLANK(AM6),"",AM6*AO6)</f>
        <v/>
      </c>
      <c r="AQ6" s="103"/>
    </row>
    <row r="7" customFormat="false" ht="11.25" hidden="false" customHeight="true" outlineLevel="0" collapsed="false">
      <c r="A7" s="93" t="str">
        <f aca="false">IF(C7&lt;&gt;"",$A$4,"")</f>
        <v/>
      </c>
      <c r="B7" s="109" t="str">
        <f aca="false">IF(C7&gt;0,IF(D7&gt;0,MAX($B$3:B6)+1," ")," ")</f>
        <v> </v>
      </c>
      <c r="C7" s="112"/>
      <c r="D7" s="111"/>
      <c r="E7" s="36"/>
      <c r="F7" s="108"/>
      <c r="G7" s="108" t="str">
        <f aca="false">IF(ISBLANK(D7),"",D7*F7)</f>
        <v/>
      </c>
      <c r="H7" s="103"/>
      <c r="I7" s="111"/>
      <c r="J7" s="36"/>
      <c r="K7" s="108"/>
      <c r="L7" s="108" t="str">
        <f aca="false">IF(ISBLANK(I7),"",I7*K7)</f>
        <v/>
      </c>
      <c r="M7" s="103"/>
      <c r="N7" s="111"/>
      <c r="O7" s="36"/>
      <c r="P7" s="108"/>
      <c r="Q7" s="108" t="str">
        <f aca="false">IF(ISBLANK(N7),"",N7*P7)</f>
        <v/>
      </c>
      <c r="R7" s="103"/>
      <c r="S7" s="111"/>
      <c r="T7" s="36"/>
      <c r="U7" s="108"/>
      <c r="V7" s="108" t="str">
        <f aca="false">IF(ISBLANK(S7),"",S7*U7)</f>
        <v/>
      </c>
      <c r="W7" s="103"/>
      <c r="X7" s="111"/>
      <c r="Y7" s="36"/>
      <c r="Z7" s="108"/>
      <c r="AA7" s="108" t="str">
        <f aca="false">IF(ISBLANK(X7),"",X7*Z7)</f>
        <v/>
      </c>
      <c r="AB7" s="103"/>
      <c r="AC7" s="111"/>
      <c r="AD7" s="36"/>
      <c r="AE7" s="108"/>
      <c r="AF7" s="108" t="str">
        <f aca="false">IF(ISBLANK(AC7),"",AC7*AE7)</f>
        <v/>
      </c>
      <c r="AG7" s="103"/>
      <c r="AH7" s="111"/>
      <c r="AI7" s="36"/>
      <c r="AJ7" s="108"/>
      <c r="AK7" s="108" t="str">
        <f aca="false">IF(ISBLANK(AH7),"",AH7*AJ7)</f>
        <v/>
      </c>
      <c r="AL7" s="103"/>
      <c r="AM7" s="111"/>
      <c r="AN7" s="36"/>
      <c r="AO7" s="108"/>
      <c r="AP7" s="108" t="str">
        <f aca="false">IF(ISBLANK(AM7),"",AM7*AO7)</f>
        <v/>
      </c>
      <c r="AQ7" s="103"/>
    </row>
    <row r="8" customFormat="false" ht="11.25" hidden="false" customHeight="true" outlineLevel="0" collapsed="false">
      <c r="A8" s="93" t="n">
        <f aca="false">IF(C8&lt;&gt;"",$A$4,"")</f>
        <v>3.1</v>
      </c>
      <c r="B8" s="109" t="n">
        <f aca="false">IF(C8&gt;0,IF(D8&gt;0,MAX($B$5:B7)+1," ")," ")</f>
        <v>1</v>
      </c>
      <c r="C8" s="112" t="s">
        <v>219</v>
      </c>
      <c r="D8" s="113" t="n">
        <v>1</v>
      </c>
      <c r="E8" s="36" t="s">
        <v>209</v>
      </c>
      <c r="F8" s="108" t="n">
        <v>8500</v>
      </c>
      <c r="G8" s="108" t="n">
        <f aca="false">F8*D8</f>
        <v>8500</v>
      </c>
      <c r="H8" s="103"/>
      <c r="I8" s="113"/>
      <c r="J8" s="36" t="s">
        <v>116</v>
      </c>
      <c r="K8" s="108" t="n">
        <v>0</v>
      </c>
      <c r="L8" s="108" t="n">
        <f aca="false">K8*I8</f>
        <v>0</v>
      </c>
      <c r="M8" s="103"/>
      <c r="N8" s="113"/>
      <c r="O8" s="36" t="s">
        <v>116</v>
      </c>
      <c r="P8" s="108" t="n">
        <v>0</v>
      </c>
      <c r="Q8" s="108" t="n">
        <f aca="false">P8*N8</f>
        <v>0</v>
      </c>
      <c r="R8" s="103"/>
      <c r="S8" s="113"/>
      <c r="T8" s="36" t="s">
        <v>116</v>
      </c>
      <c r="U8" s="108" t="n">
        <v>0</v>
      </c>
      <c r="V8" s="108" t="n">
        <f aca="false">U8*S8</f>
        <v>0</v>
      </c>
      <c r="W8" s="103"/>
      <c r="X8" s="113"/>
      <c r="Y8" s="36" t="s">
        <v>116</v>
      </c>
      <c r="Z8" s="108" t="n">
        <v>0</v>
      </c>
      <c r="AA8" s="108" t="n">
        <f aca="false">Z8*X8</f>
        <v>0</v>
      </c>
      <c r="AB8" s="103"/>
      <c r="AC8" s="113"/>
      <c r="AD8" s="36" t="s">
        <v>116</v>
      </c>
      <c r="AE8" s="108" t="n">
        <v>0</v>
      </c>
      <c r="AF8" s="108" t="n">
        <f aca="false">AE8*AC8</f>
        <v>0</v>
      </c>
      <c r="AG8" s="103"/>
      <c r="AH8" s="113"/>
      <c r="AI8" s="36" t="s">
        <v>116</v>
      </c>
      <c r="AJ8" s="108" t="n">
        <v>0</v>
      </c>
      <c r="AK8" s="108" t="n">
        <f aca="false">AJ8*AH8</f>
        <v>0</v>
      </c>
      <c r="AL8" s="103"/>
      <c r="AM8" s="113"/>
      <c r="AN8" s="36" t="s">
        <v>116</v>
      </c>
      <c r="AO8" s="108" t="n">
        <v>0</v>
      </c>
      <c r="AP8" s="108" t="n">
        <f aca="false">AO8*AM8</f>
        <v>0</v>
      </c>
      <c r="AQ8" s="103"/>
    </row>
    <row r="9" customFormat="false" ht="11.25" hidden="false" customHeight="true" outlineLevel="0" collapsed="false">
      <c r="A9" s="93" t="str">
        <f aca="false">IF(C9&lt;&gt;"",$A$4,"")</f>
        <v/>
      </c>
      <c r="B9" s="109"/>
      <c r="C9" s="112"/>
      <c r="D9" s="113"/>
      <c r="E9" s="36"/>
      <c r="F9" s="108"/>
      <c r="G9" s="108"/>
      <c r="H9" s="103"/>
      <c r="I9" s="113"/>
      <c r="J9" s="36"/>
      <c r="K9" s="108"/>
      <c r="L9" s="108"/>
      <c r="M9" s="103"/>
      <c r="N9" s="113"/>
      <c r="O9" s="36"/>
      <c r="P9" s="108"/>
      <c r="Q9" s="108"/>
      <c r="R9" s="103"/>
      <c r="S9" s="113"/>
      <c r="T9" s="36"/>
      <c r="U9" s="108"/>
      <c r="V9" s="108"/>
      <c r="W9" s="103"/>
      <c r="X9" s="113"/>
      <c r="Y9" s="36"/>
      <c r="Z9" s="108"/>
      <c r="AA9" s="108"/>
      <c r="AB9" s="103"/>
      <c r="AC9" s="113"/>
      <c r="AD9" s="36"/>
      <c r="AE9" s="108"/>
      <c r="AF9" s="108"/>
      <c r="AG9" s="103"/>
      <c r="AH9" s="113"/>
      <c r="AI9" s="36"/>
      <c r="AJ9" s="108"/>
      <c r="AK9" s="108"/>
      <c r="AL9" s="103"/>
      <c r="AM9" s="113"/>
      <c r="AN9" s="36"/>
      <c r="AO9" s="108"/>
      <c r="AP9" s="108"/>
      <c r="AQ9" s="103"/>
    </row>
    <row r="10" customFormat="false" ht="11.25" hidden="false" customHeight="true" outlineLevel="0" collapsed="false">
      <c r="A10" s="93" t="n">
        <f aca="false">IF(C10&lt;&gt;"",$A$4,"")</f>
        <v>3.1</v>
      </c>
      <c r="B10" s="109" t="str">
        <f aca="false">IF(C10&gt;0,IF(D10&gt;0,MAX($B$5:B9)+1," ")," ")</f>
        <v> </v>
      </c>
      <c r="C10" s="112" t="s">
        <v>220</v>
      </c>
      <c r="D10" s="113"/>
      <c r="E10" s="36" t="s">
        <v>116</v>
      </c>
      <c r="F10" s="108" t="n">
        <v>0</v>
      </c>
      <c r="G10" s="108" t="n">
        <f aca="false">F10*D10</f>
        <v>0</v>
      </c>
      <c r="H10" s="103"/>
      <c r="I10" s="113"/>
      <c r="J10" s="36" t="s">
        <v>116</v>
      </c>
      <c r="K10" s="108" t="n">
        <v>0</v>
      </c>
      <c r="L10" s="108" t="n">
        <f aca="false">K10*I10</f>
        <v>0</v>
      </c>
      <c r="M10" s="103"/>
      <c r="N10" s="113"/>
      <c r="O10" s="36" t="s">
        <v>116</v>
      </c>
      <c r="P10" s="108" t="n">
        <v>0</v>
      </c>
      <c r="Q10" s="108" t="n">
        <f aca="false">P10*N10</f>
        <v>0</v>
      </c>
      <c r="R10" s="103"/>
      <c r="S10" s="113"/>
      <c r="T10" s="36" t="s">
        <v>116</v>
      </c>
      <c r="U10" s="108" t="n">
        <v>0</v>
      </c>
      <c r="V10" s="108" t="n">
        <f aca="false">U10*S10</f>
        <v>0</v>
      </c>
      <c r="W10" s="103"/>
      <c r="X10" s="113"/>
      <c r="Y10" s="36" t="s">
        <v>116</v>
      </c>
      <c r="Z10" s="108" t="n">
        <v>0</v>
      </c>
      <c r="AA10" s="108" t="n">
        <f aca="false">Z10*X10</f>
        <v>0</v>
      </c>
      <c r="AB10" s="103"/>
      <c r="AC10" s="113"/>
      <c r="AD10" s="36" t="s">
        <v>116</v>
      </c>
      <c r="AE10" s="108" t="n">
        <v>0</v>
      </c>
      <c r="AF10" s="108" t="n">
        <f aca="false">AE10*AC10</f>
        <v>0</v>
      </c>
      <c r="AG10" s="103"/>
      <c r="AH10" s="113"/>
      <c r="AI10" s="36" t="s">
        <v>116</v>
      </c>
      <c r="AJ10" s="108" t="n">
        <v>0</v>
      </c>
      <c r="AK10" s="108" t="n">
        <f aca="false">AJ10*AH10</f>
        <v>0</v>
      </c>
      <c r="AL10" s="103"/>
      <c r="AM10" s="113"/>
      <c r="AN10" s="36" t="s">
        <v>116</v>
      </c>
      <c r="AO10" s="108" t="n">
        <v>0</v>
      </c>
      <c r="AP10" s="108" t="n">
        <f aca="false">AO10*AM10</f>
        <v>0</v>
      </c>
      <c r="AQ10" s="103"/>
    </row>
    <row r="11" customFormat="false" ht="11.25" hidden="false" customHeight="true" outlineLevel="0" collapsed="false">
      <c r="A11" s="93" t="str">
        <f aca="false">IF(C11&lt;&gt;"",$A$4,"")</f>
        <v/>
      </c>
      <c r="B11" s="109"/>
      <c r="C11" s="112"/>
      <c r="D11" s="113"/>
      <c r="E11" s="36"/>
      <c r="F11" s="108"/>
      <c r="G11" s="108"/>
      <c r="H11" s="103"/>
      <c r="I11" s="113"/>
      <c r="J11" s="36"/>
      <c r="K11" s="108"/>
      <c r="L11" s="108"/>
      <c r="M11" s="103"/>
      <c r="N11" s="113"/>
      <c r="O11" s="36"/>
      <c r="P11" s="108"/>
      <c r="Q11" s="108"/>
      <c r="R11" s="103"/>
      <c r="S11" s="113"/>
      <c r="T11" s="36"/>
      <c r="U11" s="108"/>
      <c r="V11" s="108"/>
      <c r="W11" s="103"/>
      <c r="X11" s="113"/>
      <c r="Y11" s="36"/>
      <c r="Z11" s="108"/>
      <c r="AA11" s="108"/>
      <c r="AB11" s="103"/>
      <c r="AC11" s="113"/>
      <c r="AD11" s="36"/>
      <c r="AE11" s="108"/>
      <c r="AF11" s="108"/>
      <c r="AG11" s="103"/>
      <c r="AH11" s="113"/>
      <c r="AI11" s="36"/>
      <c r="AJ11" s="108"/>
      <c r="AK11" s="108"/>
      <c r="AL11" s="103"/>
      <c r="AM11" s="113"/>
      <c r="AN11" s="36"/>
      <c r="AO11" s="108"/>
      <c r="AP11" s="108"/>
      <c r="AQ11" s="103"/>
    </row>
    <row r="12" customFormat="false" ht="11.25" hidden="false" customHeight="true" outlineLevel="0" collapsed="false">
      <c r="A12" s="93" t="n">
        <f aca="false">IF(C12&lt;&gt;"",$A$4,"")</f>
        <v>3.1</v>
      </c>
      <c r="B12" s="109" t="str">
        <f aca="false">IF(C12&gt;0,IF(D12&gt;0,MAX($B$5:B11)+1," ")," ")</f>
        <v> </v>
      </c>
      <c r="C12" s="112" t="s">
        <v>221</v>
      </c>
      <c r="D12" s="113"/>
      <c r="E12" s="36" t="s">
        <v>116</v>
      </c>
      <c r="F12" s="108" t="n">
        <v>0</v>
      </c>
      <c r="G12" s="108" t="n">
        <f aca="false">F12*D12</f>
        <v>0</v>
      </c>
      <c r="H12" s="103"/>
      <c r="I12" s="113"/>
      <c r="J12" s="36" t="s">
        <v>116</v>
      </c>
      <c r="K12" s="108" t="n">
        <v>0</v>
      </c>
      <c r="L12" s="108" t="n">
        <f aca="false">K12*I12</f>
        <v>0</v>
      </c>
      <c r="M12" s="103"/>
      <c r="N12" s="113"/>
      <c r="O12" s="36" t="s">
        <v>116</v>
      </c>
      <c r="P12" s="108" t="n">
        <v>0</v>
      </c>
      <c r="Q12" s="108" t="n">
        <f aca="false">P12*N12</f>
        <v>0</v>
      </c>
      <c r="R12" s="103"/>
      <c r="S12" s="113"/>
      <c r="T12" s="36" t="s">
        <v>116</v>
      </c>
      <c r="U12" s="108" t="n">
        <v>0</v>
      </c>
      <c r="V12" s="108" t="n">
        <f aca="false">U12*S12</f>
        <v>0</v>
      </c>
      <c r="W12" s="103"/>
      <c r="X12" s="113"/>
      <c r="Y12" s="36" t="s">
        <v>116</v>
      </c>
      <c r="Z12" s="108" t="n">
        <v>0</v>
      </c>
      <c r="AA12" s="108" t="n">
        <f aca="false">Z12*X12</f>
        <v>0</v>
      </c>
      <c r="AB12" s="103"/>
      <c r="AC12" s="113"/>
      <c r="AD12" s="36" t="s">
        <v>116</v>
      </c>
      <c r="AE12" s="108" t="n">
        <v>0</v>
      </c>
      <c r="AF12" s="108" t="n">
        <f aca="false">AE12*AC12</f>
        <v>0</v>
      </c>
      <c r="AG12" s="103"/>
      <c r="AH12" s="113"/>
      <c r="AI12" s="36" t="s">
        <v>116</v>
      </c>
      <c r="AJ12" s="108" t="n">
        <v>0</v>
      </c>
      <c r="AK12" s="108" t="n">
        <f aca="false">AJ12*AH12</f>
        <v>0</v>
      </c>
      <c r="AL12" s="103"/>
      <c r="AM12" s="113"/>
      <c r="AN12" s="36" t="s">
        <v>116</v>
      </c>
      <c r="AO12" s="108" t="n">
        <v>0</v>
      </c>
      <c r="AP12" s="108" t="n">
        <f aca="false">AO12*AM12</f>
        <v>0</v>
      </c>
      <c r="AQ12" s="103"/>
    </row>
    <row r="13" customFormat="false" ht="11.25" hidden="false" customHeight="true" outlineLevel="0" collapsed="false">
      <c r="A13" s="93" t="str">
        <f aca="false">IF(C13&lt;&gt;"",$A$4,"")</f>
        <v/>
      </c>
      <c r="B13" s="109"/>
      <c r="C13" s="112"/>
      <c r="D13" s="113"/>
      <c r="E13" s="36"/>
      <c r="F13" s="108"/>
      <c r="G13" s="108"/>
      <c r="H13" s="103"/>
      <c r="I13" s="113"/>
      <c r="J13" s="36"/>
      <c r="K13" s="108"/>
      <c r="L13" s="108"/>
      <c r="M13" s="103"/>
      <c r="N13" s="113"/>
      <c r="O13" s="36"/>
      <c r="P13" s="108"/>
      <c r="Q13" s="108"/>
      <c r="R13" s="103"/>
      <c r="S13" s="113"/>
      <c r="T13" s="36"/>
      <c r="U13" s="108"/>
      <c r="V13" s="108"/>
      <c r="W13" s="103"/>
      <c r="X13" s="113"/>
      <c r="Y13" s="36"/>
      <c r="Z13" s="108"/>
      <c r="AA13" s="108"/>
      <c r="AB13" s="103"/>
      <c r="AC13" s="113"/>
      <c r="AD13" s="36"/>
      <c r="AE13" s="108"/>
      <c r="AF13" s="108"/>
      <c r="AG13" s="103"/>
      <c r="AH13" s="113"/>
      <c r="AI13" s="36"/>
      <c r="AJ13" s="108"/>
      <c r="AK13" s="108"/>
      <c r="AL13" s="103"/>
      <c r="AM13" s="113"/>
      <c r="AN13" s="36"/>
      <c r="AO13" s="108"/>
      <c r="AP13" s="108"/>
      <c r="AQ13" s="103"/>
    </row>
    <row r="14" customFormat="false" ht="11.25" hidden="false" customHeight="true" outlineLevel="0" collapsed="false">
      <c r="A14" s="93" t="n">
        <f aca="false">IF(C14&lt;&gt;"",$A$4,"")</f>
        <v>3.1</v>
      </c>
      <c r="B14" s="109" t="str">
        <f aca="false">IF(C14&gt;0,IF(D14&gt;0,MAX($B$5:B13)+1," ")," ")</f>
        <v> </v>
      </c>
      <c r="C14" s="112" t="s">
        <v>222</v>
      </c>
      <c r="D14" s="113"/>
      <c r="E14" s="36" t="s">
        <v>116</v>
      </c>
      <c r="F14" s="108" t="n">
        <v>0</v>
      </c>
      <c r="G14" s="108" t="n">
        <f aca="false">F14*D14</f>
        <v>0</v>
      </c>
      <c r="H14" s="103"/>
      <c r="I14" s="113"/>
      <c r="J14" s="36" t="s">
        <v>116</v>
      </c>
      <c r="K14" s="108" t="n">
        <v>0</v>
      </c>
      <c r="L14" s="108" t="n">
        <f aca="false">K14*I14</f>
        <v>0</v>
      </c>
      <c r="M14" s="103"/>
      <c r="N14" s="113"/>
      <c r="O14" s="36" t="s">
        <v>116</v>
      </c>
      <c r="P14" s="108" t="n">
        <v>0</v>
      </c>
      <c r="Q14" s="108" t="n">
        <f aca="false">P14*N14</f>
        <v>0</v>
      </c>
      <c r="R14" s="103"/>
      <c r="S14" s="113"/>
      <c r="T14" s="36" t="s">
        <v>116</v>
      </c>
      <c r="U14" s="108" t="n">
        <v>0</v>
      </c>
      <c r="V14" s="108" t="n">
        <f aca="false">U14*S14</f>
        <v>0</v>
      </c>
      <c r="W14" s="103"/>
      <c r="X14" s="113"/>
      <c r="Y14" s="36" t="s">
        <v>116</v>
      </c>
      <c r="Z14" s="108" t="n">
        <v>0</v>
      </c>
      <c r="AA14" s="108" t="n">
        <f aca="false">Z14*X14</f>
        <v>0</v>
      </c>
      <c r="AB14" s="103"/>
      <c r="AC14" s="113"/>
      <c r="AD14" s="36" t="s">
        <v>116</v>
      </c>
      <c r="AE14" s="108" t="n">
        <v>0</v>
      </c>
      <c r="AF14" s="108" t="n">
        <f aca="false">AE14*AC14</f>
        <v>0</v>
      </c>
      <c r="AG14" s="103"/>
      <c r="AH14" s="113"/>
      <c r="AI14" s="36" t="s">
        <v>116</v>
      </c>
      <c r="AJ14" s="108" t="n">
        <v>0</v>
      </c>
      <c r="AK14" s="108" t="n">
        <f aca="false">AJ14*AH14</f>
        <v>0</v>
      </c>
      <c r="AL14" s="103"/>
      <c r="AM14" s="113"/>
      <c r="AN14" s="36" t="s">
        <v>116</v>
      </c>
      <c r="AO14" s="108" t="n">
        <v>0</v>
      </c>
      <c r="AP14" s="108" t="n">
        <f aca="false">AO14*AM14</f>
        <v>0</v>
      </c>
      <c r="AQ14" s="103"/>
    </row>
    <row r="15" customFormat="false" ht="11.25" hidden="false" customHeight="true" outlineLevel="0" collapsed="false">
      <c r="A15" s="93" t="str">
        <f aca="false">IF(C15&lt;&gt;"",$A$4,"")</f>
        <v/>
      </c>
      <c r="B15" s="109" t="str">
        <f aca="false">IF(C15&gt;0,IF(D15&gt;0,MAX($B$3:B14)+1," ")," ")</f>
        <v> </v>
      </c>
      <c r="C15" s="112"/>
      <c r="D15" s="111"/>
      <c r="E15" s="36"/>
      <c r="F15" s="108"/>
      <c r="G15" s="108" t="str">
        <f aca="false">IF(ISBLANK(D15),"",D15*F15)</f>
        <v/>
      </c>
      <c r="H15" s="103"/>
      <c r="I15" s="111"/>
      <c r="J15" s="36"/>
      <c r="K15" s="108"/>
      <c r="L15" s="108" t="str">
        <f aca="false">IF(ISBLANK(I15),"",I15*K15)</f>
        <v/>
      </c>
      <c r="M15" s="103"/>
      <c r="N15" s="111"/>
      <c r="O15" s="36"/>
      <c r="P15" s="108"/>
      <c r="Q15" s="108" t="str">
        <f aca="false">IF(ISBLANK(N15),"",N15*P15)</f>
        <v/>
      </c>
      <c r="R15" s="103"/>
      <c r="S15" s="111"/>
      <c r="T15" s="36"/>
      <c r="U15" s="108"/>
      <c r="V15" s="108" t="str">
        <f aca="false">IF(ISBLANK(S15),"",S15*U15)</f>
        <v/>
      </c>
      <c r="W15" s="103"/>
      <c r="X15" s="111"/>
      <c r="Y15" s="36"/>
      <c r="Z15" s="108"/>
      <c r="AA15" s="108" t="str">
        <f aca="false">IF(ISBLANK(X15),"",X15*Z15)</f>
        <v/>
      </c>
      <c r="AB15" s="103"/>
      <c r="AC15" s="111"/>
      <c r="AD15" s="36"/>
      <c r="AE15" s="108"/>
      <c r="AF15" s="108" t="str">
        <f aca="false">IF(ISBLANK(AC15),"",AC15*AE15)</f>
        <v/>
      </c>
      <c r="AG15" s="103"/>
      <c r="AH15" s="111"/>
      <c r="AI15" s="36"/>
      <c r="AJ15" s="108"/>
      <c r="AK15" s="108" t="str">
        <f aca="false">IF(ISBLANK(AH15),"",AH15*AJ15)</f>
        <v/>
      </c>
      <c r="AL15" s="103"/>
      <c r="AM15" s="111"/>
      <c r="AN15" s="36"/>
      <c r="AO15" s="108"/>
      <c r="AP15" s="108" t="str">
        <f aca="false">IF(ISBLANK(AM15),"",AM15*AO15)</f>
        <v/>
      </c>
      <c r="AQ15" s="103"/>
    </row>
    <row r="16" customFormat="false" ht="11.25" hidden="false" customHeight="true" outlineLevel="0" collapsed="false">
      <c r="A16" s="93" t="n">
        <f aca="false">IF(C16&lt;&gt;"",$A$4,"")</f>
        <v>3.1</v>
      </c>
      <c r="B16" s="109" t="str">
        <f aca="false">IF(C16&gt;0,IF(D16&gt;0,MAX($B$5:B15)+1," ")," ")</f>
        <v> </v>
      </c>
      <c r="C16" s="112" t="s">
        <v>223</v>
      </c>
      <c r="D16" s="113"/>
      <c r="E16" s="36" t="s">
        <v>116</v>
      </c>
      <c r="F16" s="108" t="n">
        <v>0</v>
      </c>
      <c r="G16" s="108" t="n">
        <f aca="false">F16*D16</f>
        <v>0</v>
      </c>
      <c r="H16" s="103"/>
      <c r="I16" s="113"/>
      <c r="J16" s="36" t="s">
        <v>116</v>
      </c>
      <c r="K16" s="108" t="n">
        <v>0</v>
      </c>
      <c r="L16" s="108" t="n">
        <f aca="false">K16*I16</f>
        <v>0</v>
      </c>
      <c r="M16" s="103"/>
      <c r="N16" s="113"/>
      <c r="O16" s="36" t="s">
        <v>116</v>
      </c>
      <c r="P16" s="108" t="n">
        <v>0</v>
      </c>
      <c r="Q16" s="108" t="n">
        <f aca="false">P16*N16</f>
        <v>0</v>
      </c>
      <c r="R16" s="103"/>
      <c r="S16" s="113"/>
      <c r="T16" s="36" t="s">
        <v>116</v>
      </c>
      <c r="U16" s="108" t="n">
        <v>0</v>
      </c>
      <c r="V16" s="108" t="n">
        <f aca="false">U16*S16</f>
        <v>0</v>
      </c>
      <c r="W16" s="103"/>
      <c r="X16" s="113"/>
      <c r="Y16" s="36" t="s">
        <v>116</v>
      </c>
      <c r="Z16" s="108" t="n">
        <v>0</v>
      </c>
      <c r="AA16" s="108" t="n">
        <f aca="false">Z16*X16</f>
        <v>0</v>
      </c>
      <c r="AB16" s="103"/>
      <c r="AC16" s="113"/>
      <c r="AD16" s="36" t="s">
        <v>116</v>
      </c>
      <c r="AE16" s="108" t="n">
        <v>0</v>
      </c>
      <c r="AF16" s="108" t="n">
        <f aca="false">AE16*AC16</f>
        <v>0</v>
      </c>
      <c r="AG16" s="103"/>
      <c r="AH16" s="113"/>
      <c r="AI16" s="36" t="s">
        <v>116</v>
      </c>
      <c r="AJ16" s="108" t="n">
        <v>0</v>
      </c>
      <c r="AK16" s="108" t="n">
        <f aca="false">AJ16*AH16</f>
        <v>0</v>
      </c>
      <c r="AL16" s="103"/>
      <c r="AM16" s="113"/>
      <c r="AN16" s="36" t="s">
        <v>116</v>
      </c>
      <c r="AO16" s="108" t="n">
        <v>0</v>
      </c>
      <c r="AP16" s="108" t="n">
        <f aca="false">AO16*AM16</f>
        <v>0</v>
      </c>
      <c r="AQ16" s="103"/>
    </row>
    <row r="17" customFormat="false" ht="11.25" hidden="false" customHeight="true" outlineLevel="0" collapsed="false">
      <c r="A17" s="93" t="str">
        <f aca="false">IF(C17&lt;&gt;"",$A$4,"")</f>
        <v/>
      </c>
      <c r="B17" s="109"/>
      <c r="C17" s="112"/>
      <c r="D17" s="113"/>
      <c r="E17" s="36"/>
      <c r="F17" s="108"/>
      <c r="G17" s="108"/>
      <c r="H17" s="103"/>
      <c r="I17" s="113"/>
      <c r="J17" s="36"/>
      <c r="K17" s="108"/>
      <c r="L17" s="108"/>
      <c r="M17" s="103"/>
      <c r="N17" s="113"/>
      <c r="O17" s="36"/>
      <c r="P17" s="108"/>
      <c r="Q17" s="108"/>
      <c r="R17" s="103"/>
      <c r="S17" s="113"/>
      <c r="T17" s="36"/>
      <c r="U17" s="108"/>
      <c r="V17" s="108"/>
      <c r="W17" s="103"/>
      <c r="X17" s="113"/>
      <c r="Y17" s="36"/>
      <c r="Z17" s="108"/>
      <c r="AA17" s="108"/>
      <c r="AB17" s="103"/>
      <c r="AC17" s="113"/>
      <c r="AD17" s="36"/>
      <c r="AE17" s="108"/>
      <c r="AF17" s="108"/>
      <c r="AG17" s="103"/>
      <c r="AH17" s="113"/>
      <c r="AI17" s="36"/>
      <c r="AJ17" s="108"/>
      <c r="AK17" s="108"/>
      <c r="AL17" s="103"/>
      <c r="AM17" s="113"/>
      <c r="AN17" s="36"/>
      <c r="AO17" s="108"/>
      <c r="AP17" s="108"/>
      <c r="AQ17" s="103"/>
    </row>
    <row r="18" customFormat="false" ht="11.25" hidden="false" customHeight="true" outlineLevel="0" collapsed="false">
      <c r="A18" s="93" t="n">
        <f aca="false">IF(C18&lt;&gt;"",$A$4,"")</f>
        <v>3.1</v>
      </c>
      <c r="B18" s="109" t="str">
        <f aca="false">IF(C18&gt;0,IF(D18&gt;0,MAX($B$5:B17)+1," ")," ")</f>
        <v> </v>
      </c>
      <c r="C18" s="112" t="s">
        <v>220</v>
      </c>
      <c r="D18" s="113"/>
      <c r="E18" s="36" t="s">
        <v>116</v>
      </c>
      <c r="F18" s="108" t="n">
        <v>0</v>
      </c>
      <c r="G18" s="108" t="n">
        <f aca="false">F18*D18</f>
        <v>0</v>
      </c>
      <c r="H18" s="103"/>
      <c r="I18" s="113"/>
      <c r="J18" s="36" t="s">
        <v>116</v>
      </c>
      <c r="K18" s="108" t="n">
        <v>0</v>
      </c>
      <c r="L18" s="108" t="n">
        <f aca="false">K18*I18</f>
        <v>0</v>
      </c>
      <c r="M18" s="103"/>
      <c r="N18" s="113"/>
      <c r="O18" s="36" t="s">
        <v>116</v>
      </c>
      <c r="P18" s="108" t="n">
        <v>0</v>
      </c>
      <c r="Q18" s="108" t="n">
        <f aca="false">P18*N18</f>
        <v>0</v>
      </c>
      <c r="R18" s="103"/>
      <c r="S18" s="113"/>
      <c r="T18" s="36" t="s">
        <v>116</v>
      </c>
      <c r="U18" s="108" t="n">
        <v>0</v>
      </c>
      <c r="V18" s="108" t="n">
        <f aca="false">U18*S18</f>
        <v>0</v>
      </c>
      <c r="W18" s="103"/>
      <c r="X18" s="113"/>
      <c r="Y18" s="36" t="s">
        <v>116</v>
      </c>
      <c r="Z18" s="108" t="n">
        <v>0</v>
      </c>
      <c r="AA18" s="108" t="n">
        <f aca="false">Z18*X18</f>
        <v>0</v>
      </c>
      <c r="AB18" s="103"/>
      <c r="AC18" s="113"/>
      <c r="AD18" s="36" t="s">
        <v>116</v>
      </c>
      <c r="AE18" s="108" t="n">
        <v>0</v>
      </c>
      <c r="AF18" s="108" t="n">
        <f aca="false">AE18*AC18</f>
        <v>0</v>
      </c>
      <c r="AG18" s="103"/>
      <c r="AH18" s="113"/>
      <c r="AI18" s="36" t="s">
        <v>116</v>
      </c>
      <c r="AJ18" s="108" t="n">
        <v>0</v>
      </c>
      <c r="AK18" s="108" t="n">
        <f aca="false">AJ18*AH18</f>
        <v>0</v>
      </c>
      <c r="AL18" s="103"/>
      <c r="AM18" s="113"/>
      <c r="AN18" s="36" t="s">
        <v>116</v>
      </c>
      <c r="AO18" s="108" t="n">
        <v>0</v>
      </c>
      <c r="AP18" s="108" t="n">
        <f aca="false">AO18*AM18</f>
        <v>0</v>
      </c>
      <c r="AQ18" s="103"/>
    </row>
    <row r="19" customFormat="false" ht="11.25" hidden="false" customHeight="true" outlineLevel="0" collapsed="false">
      <c r="A19" s="93" t="str">
        <f aca="false">IF(C19&lt;&gt;"",$A$4,"")</f>
        <v/>
      </c>
      <c r="B19" s="109"/>
      <c r="C19" s="112"/>
      <c r="D19" s="113"/>
      <c r="E19" s="36"/>
      <c r="F19" s="108"/>
      <c r="G19" s="108"/>
      <c r="H19" s="103"/>
      <c r="I19" s="113"/>
      <c r="J19" s="36"/>
      <c r="K19" s="108"/>
      <c r="L19" s="108"/>
      <c r="M19" s="103"/>
      <c r="N19" s="113"/>
      <c r="O19" s="36"/>
      <c r="P19" s="108"/>
      <c r="Q19" s="108"/>
      <c r="R19" s="103"/>
      <c r="S19" s="113"/>
      <c r="T19" s="36"/>
      <c r="U19" s="108"/>
      <c r="V19" s="108"/>
      <c r="W19" s="103"/>
      <c r="X19" s="113"/>
      <c r="Y19" s="36"/>
      <c r="Z19" s="108"/>
      <c r="AA19" s="108"/>
      <c r="AB19" s="103"/>
      <c r="AC19" s="113"/>
      <c r="AD19" s="36"/>
      <c r="AE19" s="108"/>
      <c r="AF19" s="108"/>
      <c r="AG19" s="103"/>
      <c r="AH19" s="113"/>
      <c r="AI19" s="36"/>
      <c r="AJ19" s="108"/>
      <c r="AK19" s="108"/>
      <c r="AL19" s="103"/>
      <c r="AM19" s="113"/>
      <c r="AN19" s="36"/>
      <c r="AO19" s="108"/>
      <c r="AP19" s="108"/>
      <c r="AQ19" s="103"/>
    </row>
    <row r="20" customFormat="false" ht="11.25" hidden="false" customHeight="true" outlineLevel="0" collapsed="false">
      <c r="A20" s="93" t="n">
        <f aca="false">IF(C20&lt;&gt;"",$A$4,"")</f>
        <v>3.1</v>
      </c>
      <c r="B20" s="109" t="str">
        <f aca="false">IF(C20&gt;0,IF(D20&gt;0,MAX($B$5:B19)+1," ")," ")</f>
        <v> </v>
      </c>
      <c r="C20" s="112" t="s">
        <v>221</v>
      </c>
      <c r="D20" s="113"/>
      <c r="E20" s="36" t="s">
        <v>116</v>
      </c>
      <c r="F20" s="108" t="n">
        <v>0</v>
      </c>
      <c r="G20" s="108" t="n">
        <f aca="false">F20*D20</f>
        <v>0</v>
      </c>
      <c r="H20" s="103"/>
      <c r="I20" s="113"/>
      <c r="J20" s="36" t="s">
        <v>116</v>
      </c>
      <c r="K20" s="108" t="n">
        <v>0</v>
      </c>
      <c r="L20" s="108" t="n">
        <f aca="false">K20*I20</f>
        <v>0</v>
      </c>
      <c r="M20" s="103"/>
      <c r="N20" s="113"/>
      <c r="O20" s="36" t="s">
        <v>116</v>
      </c>
      <c r="P20" s="108" t="n">
        <v>0</v>
      </c>
      <c r="Q20" s="108" t="n">
        <f aca="false">P20*N20</f>
        <v>0</v>
      </c>
      <c r="R20" s="103"/>
      <c r="S20" s="113"/>
      <c r="T20" s="36" t="s">
        <v>116</v>
      </c>
      <c r="U20" s="108" t="n">
        <v>0</v>
      </c>
      <c r="V20" s="108" t="n">
        <f aca="false">U20*S20</f>
        <v>0</v>
      </c>
      <c r="W20" s="103"/>
      <c r="X20" s="113"/>
      <c r="Y20" s="36" t="s">
        <v>116</v>
      </c>
      <c r="Z20" s="108" t="n">
        <v>0</v>
      </c>
      <c r="AA20" s="108" t="n">
        <f aca="false">Z20*X20</f>
        <v>0</v>
      </c>
      <c r="AB20" s="103"/>
      <c r="AC20" s="113"/>
      <c r="AD20" s="36" t="s">
        <v>116</v>
      </c>
      <c r="AE20" s="108" t="n">
        <v>0</v>
      </c>
      <c r="AF20" s="108" t="n">
        <f aca="false">AE20*AC20</f>
        <v>0</v>
      </c>
      <c r="AG20" s="103"/>
      <c r="AH20" s="113"/>
      <c r="AI20" s="36" t="s">
        <v>116</v>
      </c>
      <c r="AJ20" s="108" t="n">
        <v>0</v>
      </c>
      <c r="AK20" s="108" t="n">
        <f aca="false">AJ20*AH20</f>
        <v>0</v>
      </c>
      <c r="AL20" s="103"/>
      <c r="AM20" s="113"/>
      <c r="AN20" s="36" t="s">
        <v>116</v>
      </c>
      <c r="AO20" s="108" t="n">
        <v>0</v>
      </c>
      <c r="AP20" s="108" t="n">
        <f aca="false">AO20*AM20</f>
        <v>0</v>
      </c>
      <c r="AQ20" s="103"/>
    </row>
    <row r="21" customFormat="false" ht="11.25" hidden="false" customHeight="true" outlineLevel="0" collapsed="false">
      <c r="A21" s="93" t="str">
        <f aca="false">IF(C21&lt;&gt;"",$A$4,"")</f>
        <v/>
      </c>
      <c r="B21" s="109"/>
      <c r="C21" s="112"/>
      <c r="D21" s="113"/>
      <c r="E21" s="36"/>
      <c r="F21" s="108"/>
      <c r="G21" s="108"/>
      <c r="H21" s="103"/>
      <c r="I21" s="113"/>
      <c r="J21" s="36"/>
      <c r="K21" s="108"/>
      <c r="L21" s="108"/>
      <c r="M21" s="103"/>
      <c r="N21" s="113"/>
      <c r="O21" s="36"/>
      <c r="P21" s="108"/>
      <c r="Q21" s="108"/>
      <c r="R21" s="103"/>
      <c r="S21" s="113"/>
      <c r="T21" s="36"/>
      <c r="U21" s="108"/>
      <c r="V21" s="108"/>
      <c r="W21" s="103"/>
      <c r="X21" s="113"/>
      <c r="Y21" s="36"/>
      <c r="Z21" s="108"/>
      <c r="AA21" s="108"/>
      <c r="AB21" s="103"/>
      <c r="AC21" s="113"/>
      <c r="AD21" s="36"/>
      <c r="AE21" s="108"/>
      <c r="AF21" s="108"/>
      <c r="AG21" s="103"/>
      <c r="AH21" s="113"/>
      <c r="AI21" s="36"/>
      <c r="AJ21" s="108"/>
      <c r="AK21" s="108"/>
      <c r="AL21" s="103"/>
      <c r="AM21" s="113"/>
      <c r="AN21" s="36"/>
      <c r="AO21" s="108"/>
      <c r="AP21" s="108"/>
      <c r="AQ21" s="103"/>
    </row>
    <row r="22" customFormat="false" ht="11.25" hidden="false" customHeight="true" outlineLevel="0" collapsed="false">
      <c r="A22" s="93" t="n">
        <f aca="false">IF(C22&lt;&gt;"",$A$4,"")</f>
        <v>3.1</v>
      </c>
      <c r="B22" s="109" t="str">
        <f aca="false">IF(C22&gt;0,IF(D22&gt;0,MAX($B$5:B21)+1," ")," ")</f>
        <v> </v>
      </c>
      <c r="C22" s="112" t="s">
        <v>222</v>
      </c>
      <c r="D22" s="113"/>
      <c r="E22" s="36" t="s">
        <v>116</v>
      </c>
      <c r="F22" s="108" t="n">
        <v>0</v>
      </c>
      <c r="G22" s="108" t="n">
        <f aca="false">F22*D22</f>
        <v>0</v>
      </c>
      <c r="H22" s="103"/>
      <c r="I22" s="113"/>
      <c r="J22" s="36" t="s">
        <v>116</v>
      </c>
      <c r="K22" s="108" t="n">
        <v>0</v>
      </c>
      <c r="L22" s="108" t="n">
        <f aca="false">K22*I22</f>
        <v>0</v>
      </c>
      <c r="M22" s="103"/>
      <c r="N22" s="113"/>
      <c r="O22" s="36" t="s">
        <v>116</v>
      </c>
      <c r="P22" s="108" t="n">
        <v>0</v>
      </c>
      <c r="Q22" s="108" t="n">
        <f aca="false">P22*N22</f>
        <v>0</v>
      </c>
      <c r="R22" s="103"/>
      <c r="S22" s="113"/>
      <c r="T22" s="36" t="s">
        <v>116</v>
      </c>
      <c r="U22" s="108" t="n">
        <v>0</v>
      </c>
      <c r="V22" s="108" t="n">
        <f aca="false">U22*S22</f>
        <v>0</v>
      </c>
      <c r="W22" s="103"/>
      <c r="X22" s="113"/>
      <c r="Y22" s="36" t="s">
        <v>116</v>
      </c>
      <c r="Z22" s="108" t="n">
        <v>0</v>
      </c>
      <c r="AA22" s="108" t="n">
        <f aca="false">Z22*X22</f>
        <v>0</v>
      </c>
      <c r="AB22" s="103"/>
      <c r="AC22" s="113"/>
      <c r="AD22" s="36" t="s">
        <v>116</v>
      </c>
      <c r="AE22" s="108" t="n">
        <v>0</v>
      </c>
      <c r="AF22" s="108" t="n">
        <f aca="false">AE22*AC22</f>
        <v>0</v>
      </c>
      <c r="AG22" s="103"/>
      <c r="AH22" s="113"/>
      <c r="AI22" s="36" t="s">
        <v>116</v>
      </c>
      <c r="AJ22" s="108" t="n">
        <v>0</v>
      </c>
      <c r="AK22" s="108" t="n">
        <f aca="false">AJ22*AH22</f>
        <v>0</v>
      </c>
      <c r="AL22" s="103"/>
      <c r="AM22" s="113"/>
      <c r="AN22" s="36" t="s">
        <v>116</v>
      </c>
      <c r="AO22" s="108" t="n">
        <v>0</v>
      </c>
      <c r="AP22" s="108" t="n">
        <f aca="false">AO22*AM22</f>
        <v>0</v>
      </c>
      <c r="AQ22" s="103"/>
    </row>
    <row r="23" customFormat="false" ht="11.25" hidden="false" customHeight="true" outlineLevel="0" collapsed="false">
      <c r="A23" s="93" t="str">
        <f aca="false">IF(C23&lt;&gt;"",$A$4,"")</f>
        <v/>
      </c>
      <c r="B23" s="109" t="str">
        <f aca="false">IF(C23&gt;0,IF(D23&gt;0,MAX($B$3:B22)+1," ")," ")</f>
        <v> </v>
      </c>
      <c r="C23" s="112"/>
      <c r="D23" s="111"/>
      <c r="E23" s="36"/>
      <c r="F23" s="108"/>
      <c r="G23" s="108" t="str">
        <f aca="false">IF(ISBLANK(D23),"",D23*F23)</f>
        <v/>
      </c>
      <c r="H23" s="103"/>
      <c r="I23" s="111"/>
      <c r="J23" s="36"/>
      <c r="K23" s="108"/>
      <c r="L23" s="108" t="str">
        <f aca="false">IF(ISBLANK(I23),"",I23*K23)</f>
        <v/>
      </c>
      <c r="M23" s="103"/>
      <c r="N23" s="111"/>
      <c r="O23" s="36"/>
      <c r="P23" s="108"/>
      <c r="Q23" s="108" t="str">
        <f aca="false">IF(ISBLANK(N23),"",N23*P23)</f>
        <v/>
      </c>
      <c r="R23" s="103"/>
      <c r="S23" s="111"/>
      <c r="T23" s="36"/>
      <c r="U23" s="108"/>
      <c r="V23" s="108" t="str">
        <f aca="false">IF(ISBLANK(S23),"",S23*U23)</f>
        <v/>
      </c>
      <c r="W23" s="103"/>
      <c r="X23" s="111"/>
      <c r="Y23" s="36"/>
      <c r="Z23" s="108"/>
      <c r="AA23" s="108" t="str">
        <f aca="false">IF(ISBLANK(X23),"",X23*Z23)</f>
        <v/>
      </c>
      <c r="AB23" s="103"/>
      <c r="AC23" s="111"/>
      <c r="AD23" s="36"/>
      <c r="AE23" s="108"/>
      <c r="AF23" s="108" t="str">
        <f aca="false">IF(ISBLANK(AC23),"",AC23*AE23)</f>
        <v/>
      </c>
      <c r="AG23" s="103"/>
      <c r="AH23" s="111"/>
      <c r="AI23" s="36"/>
      <c r="AJ23" s="108"/>
      <c r="AK23" s="108" t="str">
        <f aca="false">IF(ISBLANK(AH23),"",AH23*AJ23)</f>
        <v/>
      </c>
      <c r="AL23" s="103"/>
      <c r="AM23" s="111"/>
      <c r="AN23" s="36"/>
      <c r="AO23" s="108"/>
      <c r="AP23" s="108" t="str">
        <f aca="false">IF(ISBLANK(AM23),"",AM23*AO23)</f>
        <v/>
      </c>
      <c r="AQ23" s="103"/>
    </row>
    <row r="24" customFormat="false" ht="11.25" hidden="false" customHeight="true" outlineLevel="0" collapsed="false">
      <c r="A24" s="93" t="n">
        <f aca="false">IF(C24&lt;&gt;"",$A$4,"")</f>
        <v>3.1</v>
      </c>
      <c r="B24" s="109" t="str">
        <f aca="false">IF(C24&gt;0,IF(D24&gt;0,MAX($B$5:B23)+1," ")," ")</f>
        <v> </v>
      </c>
      <c r="C24" s="112" t="s">
        <v>223</v>
      </c>
      <c r="D24" s="113"/>
      <c r="E24" s="36" t="s">
        <v>116</v>
      </c>
      <c r="F24" s="108" t="n">
        <v>0</v>
      </c>
      <c r="G24" s="108" t="n">
        <f aca="false">F24*D24</f>
        <v>0</v>
      </c>
      <c r="H24" s="103"/>
      <c r="I24" s="113"/>
      <c r="J24" s="36" t="s">
        <v>116</v>
      </c>
      <c r="K24" s="108" t="n">
        <v>0</v>
      </c>
      <c r="L24" s="108" t="n">
        <f aca="false">K24*I24</f>
        <v>0</v>
      </c>
      <c r="M24" s="103"/>
      <c r="N24" s="113"/>
      <c r="O24" s="36" t="s">
        <v>116</v>
      </c>
      <c r="P24" s="108" t="n">
        <v>0</v>
      </c>
      <c r="Q24" s="108" t="n">
        <f aca="false">P24*N24</f>
        <v>0</v>
      </c>
      <c r="R24" s="103"/>
      <c r="S24" s="113"/>
      <c r="T24" s="36" t="s">
        <v>116</v>
      </c>
      <c r="U24" s="108" t="n">
        <v>0</v>
      </c>
      <c r="V24" s="108" t="n">
        <f aca="false">U24*S24</f>
        <v>0</v>
      </c>
      <c r="W24" s="103"/>
      <c r="X24" s="113"/>
      <c r="Y24" s="36" t="s">
        <v>116</v>
      </c>
      <c r="Z24" s="108" t="n">
        <v>0</v>
      </c>
      <c r="AA24" s="108" t="n">
        <f aca="false">Z24*X24</f>
        <v>0</v>
      </c>
      <c r="AB24" s="103"/>
      <c r="AC24" s="113"/>
      <c r="AD24" s="36" t="s">
        <v>116</v>
      </c>
      <c r="AE24" s="108" t="n">
        <v>0</v>
      </c>
      <c r="AF24" s="108" t="n">
        <f aca="false">AE24*AC24</f>
        <v>0</v>
      </c>
      <c r="AG24" s="103"/>
      <c r="AH24" s="113"/>
      <c r="AI24" s="36" t="s">
        <v>116</v>
      </c>
      <c r="AJ24" s="108" t="n">
        <v>0</v>
      </c>
      <c r="AK24" s="108" t="n">
        <f aca="false">AJ24*AH24</f>
        <v>0</v>
      </c>
      <c r="AL24" s="103"/>
      <c r="AM24" s="113"/>
      <c r="AN24" s="36" t="s">
        <v>116</v>
      </c>
      <c r="AO24" s="108" t="n">
        <v>0</v>
      </c>
      <c r="AP24" s="108" t="n">
        <f aca="false">AO24*AM24</f>
        <v>0</v>
      </c>
      <c r="AQ24" s="103"/>
    </row>
    <row r="25" customFormat="false" ht="11.25" hidden="false" customHeight="true" outlineLevel="0" collapsed="false">
      <c r="A25" s="93" t="str">
        <f aca="false">IF(C25&lt;&gt;"",$A$4,"")</f>
        <v/>
      </c>
      <c r="B25" s="109"/>
      <c r="C25" s="112"/>
      <c r="D25" s="113"/>
      <c r="E25" s="36"/>
      <c r="F25" s="108"/>
      <c r="G25" s="108"/>
      <c r="H25" s="103"/>
      <c r="I25" s="113"/>
      <c r="J25" s="36"/>
      <c r="K25" s="108"/>
      <c r="L25" s="108"/>
      <c r="M25" s="103"/>
      <c r="N25" s="113"/>
      <c r="O25" s="36"/>
      <c r="P25" s="108"/>
      <c r="Q25" s="108"/>
      <c r="R25" s="103"/>
      <c r="S25" s="113"/>
      <c r="T25" s="36"/>
      <c r="U25" s="108"/>
      <c r="V25" s="108"/>
      <c r="W25" s="103"/>
      <c r="X25" s="113"/>
      <c r="Y25" s="36"/>
      <c r="Z25" s="108"/>
      <c r="AA25" s="108"/>
      <c r="AB25" s="103"/>
      <c r="AC25" s="113"/>
      <c r="AD25" s="36"/>
      <c r="AE25" s="108"/>
      <c r="AF25" s="108"/>
      <c r="AG25" s="103"/>
      <c r="AH25" s="113"/>
      <c r="AI25" s="36"/>
      <c r="AJ25" s="108"/>
      <c r="AK25" s="108"/>
      <c r="AL25" s="103"/>
      <c r="AM25" s="113"/>
      <c r="AN25" s="36"/>
      <c r="AO25" s="108"/>
      <c r="AP25" s="108"/>
      <c r="AQ25" s="103"/>
    </row>
    <row r="26" customFormat="false" ht="11.25" hidden="false" customHeight="true" outlineLevel="0" collapsed="false">
      <c r="A26" s="93" t="n">
        <f aca="false">IF(C26&lt;&gt;"",$A$4,"")</f>
        <v>3.1</v>
      </c>
      <c r="B26" s="109" t="str">
        <f aca="false">IF(C26&gt;0,IF(D26&gt;0,MAX($B$5:B25)+1," ")," ")</f>
        <v> </v>
      </c>
      <c r="C26" s="112" t="s">
        <v>220</v>
      </c>
      <c r="D26" s="113"/>
      <c r="E26" s="36" t="s">
        <v>116</v>
      </c>
      <c r="F26" s="108" t="n">
        <v>0</v>
      </c>
      <c r="G26" s="108" t="n">
        <f aca="false">F26*D26</f>
        <v>0</v>
      </c>
      <c r="H26" s="103"/>
      <c r="I26" s="113"/>
      <c r="J26" s="36" t="s">
        <v>116</v>
      </c>
      <c r="K26" s="108" t="n">
        <v>0</v>
      </c>
      <c r="L26" s="108" t="n">
        <f aca="false">K26*I26</f>
        <v>0</v>
      </c>
      <c r="M26" s="103"/>
      <c r="N26" s="113"/>
      <c r="O26" s="36" t="s">
        <v>116</v>
      </c>
      <c r="P26" s="108" t="n">
        <v>0</v>
      </c>
      <c r="Q26" s="108" t="n">
        <f aca="false">P26*N26</f>
        <v>0</v>
      </c>
      <c r="R26" s="103"/>
      <c r="S26" s="113"/>
      <c r="T26" s="36" t="s">
        <v>116</v>
      </c>
      <c r="U26" s="108" t="n">
        <v>0</v>
      </c>
      <c r="V26" s="108" t="n">
        <f aca="false">U26*S26</f>
        <v>0</v>
      </c>
      <c r="W26" s="103"/>
      <c r="X26" s="113"/>
      <c r="Y26" s="36" t="s">
        <v>116</v>
      </c>
      <c r="Z26" s="108" t="n">
        <v>0</v>
      </c>
      <c r="AA26" s="108" t="n">
        <f aca="false">Z26*X26</f>
        <v>0</v>
      </c>
      <c r="AB26" s="103"/>
      <c r="AC26" s="113"/>
      <c r="AD26" s="36" t="s">
        <v>116</v>
      </c>
      <c r="AE26" s="108" t="n">
        <v>0</v>
      </c>
      <c r="AF26" s="108" t="n">
        <f aca="false">AE26*AC26</f>
        <v>0</v>
      </c>
      <c r="AG26" s="103"/>
      <c r="AH26" s="113"/>
      <c r="AI26" s="36" t="s">
        <v>116</v>
      </c>
      <c r="AJ26" s="108" t="n">
        <v>0</v>
      </c>
      <c r="AK26" s="108" t="n">
        <f aca="false">AJ26*AH26</f>
        <v>0</v>
      </c>
      <c r="AL26" s="103"/>
      <c r="AM26" s="113"/>
      <c r="AN26" s="36" t="s">
        <v>116</v>
      </c>
      <c r="AO26" s="108" t="n">
        <v>0</v>
      </c>
      <c r="AP26" s="108" t="n">
        <f aca="false">AO26*AM26</f>
        <v>0</v>
      </c>
      <c r="AQ26" s="103"/>
    </row>
    <row r="27" customFormat="false" ht="11.25" hidden="false" customHeight="true" outlineLevel="0" collapsed="false">
      <c r="A27" s="93" t="str">
        <f aca="false">IF(C27&lt;&gt;"",$A$4,"")</f>
        <v/>
      </c>
      <c r="B27" s="109"/>
      <c r="C27" s="112"/>
      <c r="D27" s="113"/>
      <c r="E27" s="36"/>
      <c r="F27" s="108"/>
      <c r="G27" s="108"/>
      <c r="H27" s="103"/>
      <c r="I27" s="113"/>
      <c r="J27" s="36"/>
      <c r="K27" s="108"/>
      <c r="L27" s="108"/>
      <c r="M27" s="103"/>
      <c r="N27" s="113"/>
      <c r="O27" s="36"/>
      <c r="P27" s="108"/>
      <c r="Q27" s="108"/>
      <c r="R27" s="103"/>
      <c r="S27" s="113"/>
      <c r="T27" s="36"/>
      <c r="U27" s="108"/>
      <c r="V27" s="108"/>
      <c r="W27" s="103"/>
      <c r="X27" s="113"/>
      <c r="Y27" s="36"/>
      <c r="Z27" s="108"/>
      <c r="AA27" s="108"/>
      <c r="AB27" s="103"/>
      <c r="AC27" s="113"/>
      <c r="AD27" s="36"/>
      <c r="AE27" s="108"/>
      <c r="AF27" s="108"/>
      <c r="AG27" s="103"/>
      <c r="AH27" s="113"/>
      <c r="AI27" s="36"/>
      <c r="AJ27" s="108"/>
      <c r="AK27" s="108"/>
      <c r="AL27" s="103"/>
      <c r="AM27" s="113"/>
      <c r="AN27" s="36"/>
      <c r="AO27" s="108"/>
      <c r="AP27" s="108"/>
      <c r="AQ27" s="103"/>
    </row>
    <row r="28" customFormat="false" ht="11.25" hidden="false" customHeight="true" outlineLevel="0" collapsed="false">
      <c r="A28" s="93" t="n">
        <f aca="false">IF(C28&lt;&gt;"",$A$4,"")</f>
        <v>3.1</v>
      </c>
      <c r="B28" s="109" t="str">
        <f aca="false">IF(C28&gt;0,IF(D28&gt;0,MAX($B$5:B27)+1," ")," ")</f>
        <v> </v>
      </c>
      <c r="C28" s="112" t="s">
        <v>221</v>
      </c>
      <c r="D28" s="113"/>
      <c r="E28" s="36" t="s">
        <v>116</v>
      </c>
      <c r="F28" s="108" t="n">
        <v>0</v>
      </c>
      <c r="G28" s="108" t="n">
        <f aca="false">F28*D28</f>
        <v>0</v>
      </c>
      <c r="H28" s="103"/>
      <c r="I28" s="113"/>
      <c r="J28" s="36" t="s">
        <v>116</v>
      </c>
      <c r="K28" s="108" t="n">
        <v>0</v>
      </c>
      <c r="L28" s="108" t="n">
        <f aca="false">K28*I28</f>
        <v>0</v>
      </c>
      <c r="M28" s="103"/>
      <c r="N28" s="113"/>
      <c r="O28" s="36" t="s">
        <v>116</v>
      </c>
      <c r="P28" s="108" t="n">
        <v>0</v>
      </c>
      <c r="Q28" s="108" t="n">
        <f aca="false">P28*N28</f>
        <v>0</v>
      </c>
      <c r="R28" s="103"/>
      <c r="S28" s="113"/>
      <c r="T28" s="36" t="s">
        <v>116</v>
      </c>
      <c r="U28" s="108" t="n">
        <v>0</v>
      </c>
      <c r="V28" s="108" t="n">
        <f aca="false">U28*S28</f>
        <v>0</v>
      </c>
      <c r="W28" s="103"/>
      <c r="X28" s="113"/>
      <c r="Y28" s="36" t="s">
        <v>116</v>
      </c>
      <c r="Z28" s="108" t="n">
        <v>0</v>
      </c>
      <c r="AA28" s="108" t="n">
        <f aca="false">Z28*X28</f>
        <v>0</v>
      </c>
      <c r="AB28" s="103"/>
      <c r="AC28" s="113"/>
      <c r="AD28" s="36" t="s">
        <v>116</v>
      </c>
      <c r="AE28" s="108" t="n">
        <v>0</v>
      </c>
      <c r="AF28" s="108" t="n">
        <f aca="false">AE28*AC28</f>
        <v>0</v>
      </c>
      <c r="AG28" s="103"/>
      <c r="AH28" s="113"/>
      <c r="AI28" s="36" t="s">
        <v>116</v>
      </c>
      <c r="AJ28" s="108" t="n">
        <v>0</v>
      </c>
      <c r="AK28" s="108" t="n">
        <f aca="false">AJ28*AH28</f>
        <v>0</v>
      </c>
      <c r="AL28" s="103"/>
      <c r="AM28" s="113"/>
      <c r="AN28" s="36" t="s">
        <v>116</v>
      </c>
      <c r="AO28" s="108" t="n">
        <v>0</v>
      </c>
      <c r="AP28" s="108" t="n">
        <f aca="false">AO28*AM28</f>
        <v>0</v>
      </c>
      <c r="AQ28" s="103"/>
    </row>
    <row r="29" customFormat="false" ht="11.25" hidden="false" customHeight="true" outlineLevel="0" collapsed="false">
      <c r="A29" s="93" t="str">
        <f aca="false">IF(C29&lt;&gt;"",$A$4,"")</f>
        <v/>
      </c>
      <c r="B29" s="109"/>
      <c r="C29" s="112"/>
      <c r="D29" s="113"/>
      <c r="E29" s="36"/>
      <c r="F29" s="108"/>
      <c r="G29" s="108"/>
      <c r="H29" s="103"/>
      <c r="I29" s="113"/>
      <c r="J29" s="36"/>
      <c r="K29" s="108"/>
      <c r="L29" s="108"/>
      <c r="M29" s="103"/>
      <c r="N29" s="113"/>
      <c r="O29" s="36"/>
      <c r="P29" s="108"/>
      <c r="Q29" s="108"/>
      <c r="R29" s="103"/>
      <c r="S29" s="113"/>
      <c r="T29" s="36"/>
      <c r="U29" s="108"/>
      <c r="V29" s="108"/>
      <c r="W29" s="103"/>
      <c r="X29" s="113"/>
      <c r="Y29" s="36"/>
      <c r="Z29" s="108"/>
      <c r="AA29" s="108"/>
      <c r="AB29" s="103"/>
      <c r="AC29" s="113"/>
      <c r="AD29" s="36"/>
      <c r="AE29" s="108"/>
      <c r="AF29" s="108"/>
      <c r="AG29" s="103"/>
      <c r="AH29" s="113"/>
      <c r="AI29" s="36"/>
      <c r="AJ29" s="108"/>
      <c r="AK29" s="108"/>
      <c r="AL29" s="103"/>
      <c r="AM29" s="113"/>
      <c r="AN29" s="36"/>
      <c r="AO29" s="108"/>
      <c r="AP29" s="108"/>
      <c r="AQ29" s="103"/>
    </row>
    <row r="30" customFormat="false" ht="11.25" hidden="false" customHeight="true" outlineLevel="0" collapsed="false">
      <c r="A30" s="93" t="n">
        <f aca="false">IF(C30&lt;&gt;"",$A$4,"")</f>
        <v>3.1</v>
      </c>
      <c r="B30" s="109" t="str">
        <f aca="false">IF(C30&gt;0,IF(D30&gt;0,MAX($B$5:B29)+1," ")," ")</f>
        <v> </v>
      </c>
      <c r="C30" s="112" t="s">
        <v>222</v>
      </c>
      <c r="D30" s="113"/>
      <c r="E30" s="36" t="s">
        <v>116</v>
      </c>
      <c r="F30" s="108" t="n">
        <v>0</v>
      </c>
      <c r="G30" s="108" t="n">
        <f aca="false">F30*D30</f>
        <v>0</v>
      </c>
      <c r="H30" s="103"/>
      <c r="I30" s="113"/>
      <c r="J30" s="36" t="s">
        <v>116</v>
      </c>
      <c r="K30" s="108" t="n">
        <v>0</v>
      </c>
      <c r="L30" s="108" t="n">
        <f aca="false">K30*I30</f>
        <v>0</v>
      </c>
      <c r="M30" s="103"/>
      <c r="N30" s="113"/>
      <c r="O30" s="36" t="s">
        <v>116</v>
      </c>
      <c r="P30" s="108" t="n">
        <v>0</v>
      </c>
      <c r="Q30" s="108" t="n">
        <f aca="false">P30*N30</f>
        <v>0</v>
      </c>
      <c r="R30" s="103"/>
      <c r="S30" s="113"/>
      <c r="T30" s="36" t="s">
        <v>116</v>
      </c>
      <c r="U30" s="108" t="n">
        <v>0</v>
      </c>
      <c r="V30" s="108" t="n">
        <f aca="false">U30*S30</f>
        <v>0</v>
      </c>
      <c r="W30" s="103"/>
      <c r="X30" s="113"/>
      <c r="Y30" s="36" t="s">
        <v>116</v>
      </c>
      <c r="Z30" s="108" t="n">
        <v>0</v>
      </c>
      <c r="AA30" s="108" t="n">
        <f aca="false">Z30*X30</f>
        <v>0</v>
      </c>
      <c r="AB30" s="103"/>
      <c r="AC30" s="113"/>
      <c r="AD30" s="36" t="s">
        <v>116</v>
      </c>
      <c r="AE30" s="108" t="n">
        <v>0</v>
      </c>
      <c r="AF30" s="108" t="n">
        <f aca="false">AE30*AC30</f>
        <v>0</v>
      </c>
      <c r="AG30" s="103"/>
      <c r="AH30" s="113"/>
      <c r="AI30" s="36" t="s">
        <v>116</v>
      </c>
      <c r="AJ30" s="108" t="n">
        <v>0</v>
      </c>
      <c r="AK30" s="108" t="n">
        <f aca="false">AJ30*AH30</f>
        <v>0</v>
      </c>
      <c r="AL30" s="103"/>
      <c r="AM30" s="113"/>
      <c r="AN30" s="36" t="s">
        <v>116</v>
      </c>
      <c r="AO30" s="108" t="n">
        <v>0</v>
      </c>
      <c r="AP30" s="108" t="n">
        <f aca="false">AO30*AM30</f>
        <v>0</v>
      </c>
      <c r="AQ30" s="103"/>
    </row>
    <row r="31" customFormat="false" ht="11.25" hidden="false" customHeight="true" outlineLevel="0" collapsed="false">
      <c r="A31" s="93" t="str">
        <f aca="false">IF(C31&lt;&gt;"",$A$4,"")</f>
        <v/>
      </c>
      <c r="B31" s="109" t="str">
        <f aca="false">IF(C31&gt;0,IF(D31&gt;0,MAX($B$3:B30)+1," ")," ")</f>
        <v> </v>
      </c>
      <c r="C31" s="112"/>
      <c r="D31" s="111"/>
      <c r="E31" s="36"/>
      <c r="F31" s="108"/>
      <c r="G31" s="108" t="str">
        <f aca="false">IF(ISBLANK(D31),"",D31*F31)</f>
        <v/>
      </c>
      <c r="H31" s="103"/>
      <c r="I31" s="111"/>
      <c r="J31" s="36"/>
      <c r="K31" s="108"/>
      <c r="L31" s="108" t="str">
        <f aca="false">IF(ISBLANK(I31),"",I31*K31)</f>
        <v/>
      </c>
      <c r="M31" s="103"/>
      <c r="N31" s="111"/>
      <c r="O31" s="36"/>
      <c r="P31" s="108"/>
      <c r="Q31" s="108" t="str">
        <f aca="false">IF(ISBLANK(N31),"",N31*P31)</f>
        <v/>
      </c>
      <c r="R31" s="103"/>
      <c r="S31" s="111"/>
      <c r="T31" s="36"/>
      <c r="U31" s="108"/>
      <c r="V31" s="108" t="str">
        <f aca="false">IF(ISBLANK(S31),"",S31*U31)</f>
        <v/>
      </c>
      <c r="W31" s="103"/>
      <c r="X31" s="111"/>
      <c r="Y31" s="36"/>
      <c r="Z31" s="108"/>
      <c r="AA31" s="108" t="str">
        <f aca="false">IF(ISBLANK(X31),"",X31*Z31)</f>
        <v/>
      </c>
      <c r="AB31" s="103"/>
      <c r="AC31" s="111"/>
      <c r="AD31" s="36"/>
      <c r="AE31" s="108"/>
      <c r="AF31" s="108" t="str">
        <f aca="false">IF(ISBLANK(AC31),"",AC31*AE31)</f>
        <v/>
      </c>
      <c r="AG31" s="103"/>
      <c r="AH31" s="111"/>
      <c r="AI31" s="36"/>
      <c r="AJ31" s="108"/>
      <c r="AK31" s="108" t="str">
        <f aca="false">IF(ISBLANK(AH31),"",AH31*AJ31)</f>
        <v/>
      </c>
      <c r="AL31" s="103"/>
      <c r="AM31" s="111"/>
      <c r="AN31" s="36"/>
      <c r="AO31" s="108"/>
      <c r="AP31" s="108" t="str">
        <f aca="false">IF(ISBLANK(AM31),"",AM31*AO31)</f>
        <v/>
      </c>
      <c r="AQ31" s="103"/>
    </row>
    <row r="32" customFormat="false" ht="11.25" hidden="false" customHeight="true" outlineLevel="0" collapsed="false">
      <c r="A32" s="93" t="n">
        <f aca="false">IF(C32&lt;&gt;"",$A$4,"")</f>
        <v>3.1</v>
      </c>
      <c r="B32" s="109" t="str">
        <f aca="false">IF(C32&gt;0,IF(D32&gt;0,MAX($B$5:B31)+1," ")," ")</f>
        <v> </v>
      </c>
      <c r="C32" s="112" t="s">
        <v>223</v>
      </c>
      <c r="D32" s="113"/>
      <c r="E32" s="36" t="s">
        <v>116</v>
      </c>
      <c r="F32" s="108" t="n">
        <v>0</v>
      </c>
      <c r="G32" s="108" t="n">
        <f aca="false">F32*D32</f>
        <v>0</v>
      </c>
      <c r="H32" s="103"/>
      <c r="I32" s="113"/>
      <c r="J32" s="36" t="s">
        <v>116</v>
      </c>
      <c r="K32" s="108" t="n">
        <v>0</v>
      </c>
      <c r="L32" s="108" t="n">
        <f aca="false">K32*I32</f>
        <v>0</v>
      </c>
      <c r="M32" s="103"/>
      <c r="N32" s="113"/>
      <c r="O32" s="36" t="s">
        <v>116</v>
      </c>
      <c r="P32" s="108" t="n">
        <v>0</v>
      </c>
      <c r="Q32" s="108" t="n">
        <f aca="false">P32*N32</f>
        <v>0</v>
      </c>
      <c r="R32" s="103"/>
      <c r="S32" s="113"/>
      <c r="T32" s="36" t="s">
        <v>116</v>
      </c>
      <c r="U32" s="108" t="n">
        <v>0</v>
      </c>
      <c r="V32" s="108" t="n">
        <f aca="false">U32*S32</f>
        <v>0</v>
      </c>
      <c r="W32" s="103"/>
      <c r="X32" s="113"/>
      <c r="Y32" s="36" t="s">
        <v>116</v>
      </c>
      <c r="Z32" s="108" t="n">
        <v>0</v>
      </c>
      <c r="AA32" s="108" t="n">
        <f aca="false">Z32*X32</f>
        <v>0</v>
      </c>
      <c r="AB32" s="103"/>
      <c r="AC32" s="113"/>
      <c r="AD32" s="36" t="s">
        <v>116</v>
      </c>
      <c r="AE32" s="108" t="n">
        <v>0</v>
      </c>
      <c r="AF32" s="108" t="n">
        <f aca="false">AE32*AC32</f>
        <v>0</v>
      </c>
      <c r="AG32" s="103"/>
      <c r="AH32" s="113"/>
      <c r="AI32" s="36" t="s">
        <v>116</v>
      </c>
      <c r="AJ32" s="108" t="n">
        <v>0</v>
      </c>
      <c r="AK32" s="108" t="n">
        <f aca="false">AJ32*AH32</f>
        <v>0</v>
      </c>
      <c r="AL32" s="103"/>
      <c r="AM32" s="113"/>
      <c r="AN32" s="36" t="s">
        <v>116</v>
      </c>
      <c r="AO32" s="108" t="n">
        <v>0</v>
      </c>
      <c r="AP32" s="108" t="n">
        <f aca="false">AO32*AM32</f>
        <v>0</v>
      </c>
      <c r="AQ32" s="103"/>
    </row>
    <row r="33" customFormat="false" ht="11.25" hidden="false" customHeight="true" outlineLevel="0" collapsed="false">
      <c r="A33" s="93" t="str">
        <f aca="false">IF(C33&lt;&gt;"",$A$4,"")</f>
        <v/>
      </c>
      <c r="B33" s="109"/>
      <c r="C33" s="112"/>
      <c r="D33" s="113"/>
      <c r="E33" s="36"/>
      <c r="F33" s="108"/>
      <c r="G33" s="108"/>
      <c r="H33" s="103"/>
      <c r="I33" s="113"/>
      <c r="J33" s="36"/>
      <c r="K33" s="108"/>
      <c r="L33" s="108"/>
      <c r="M33" s="103"/>
      <c r="N33" s="113"/>
      <c r="O33" s="36"/>
      <c r="P33" s="108"/>
      <c r="Q33" s="108"/>
      <c r="R33" s="103"/>
      <c r="S33" s="113"/>
      <c r="T33" s="36"/>
      <c r="U33" s="108"/>
      <c r="V33" s="108"/>
      <c r="W33" s="103"/>
      <c r="X33" s="113"/>
      <c r="Y33" s="36"/>
      <c r="Z33" s="108"/>
      <c r="AA33" s="108"/>
      <c r="AB33" s="103"/>
      <c r="AC33" s="113"/>
      <c r="AD33" s="36"/>
      <c r="AE33" s="108"/>
      <c r="AF33" s="108"/>
      <c r="AG33" s="103"/>
      <c r="AH33" s="113"/>
      <c r="AI33" s="36"/>
      <c r="AJ33" s="108"/>
      <c r="AK33" s="108"/>
      <c r="AL33" s="103"/>
      <c r="AM33" s="113"/>
      <c r="AN33" s="36"/>
      <c r="AO33" s="108"/>
      <c r="AP33" s="108"/>
      <c r="AQ33" s="103"/>
    </row>
    <row r="34" customFormat="false" ht="11.25" hidden="false" customHeight="true" outlineLevel="0" collapsed="false">
      <c r="A34" s="93" t="n">
        <f aca="false">IF(C34&lt;&gt;"",$A$4,"")</f>
        <v>3.1</v>
      </c>
      <c r="B34" s="109" t="str">
        <f aca="false">IF(C34&gt;0,IF(D34&gt;0,MAX($B$5:B33)+1," ")," ")</f>
        <v> </v>
      </c>
      <c r="C34" s="112" t="s">
        <v>220</v>
      </c>
      <c r="D34" s="113"/>
      <c r="E34" s="36" t="s">
        <v>116</v>
      </c>
      <c r="F34" s="108" t="n">
        <v>0</v>
      </c>
      <c r="G34" s="108" t="n">
        <f aca="false">F34*D34</f>
        <v>0</v>
      </c>
      <c r="H34" s="103"/>
      <c r="I34" s="113"/>
      <c r="J34" s="36" t="s">
        <v>116</v>
      </c>
      <c r="K34" s="108" t="n">
        <v>0</v>
      </c>
      <c r="L34" s="108" t="n">
        <f aca="false">K34*I34</f>
        <v>0</v>
      </c>
      <c r="M34" s="103"/>
      <c r="N34" s="113"/>
      <c r="O34" s="36" t="s">
        <v>116</v>
      </c>
      <c r="P34" s="108" t="n">
        <v>0</v>
      </c>
      <c r="Q34" s="108" t="n">
        <f aca="false">P34*N34</f>
        <v>0</v>
      </c>
      <c r="R34" s="103"/>
      <c r="S34" s="113"/>
      <c r="T34" s="36" t="s">
        <v>116</v>
      </c>
      <c r="U34" s="108" t="n">
        <v>0</v>
      </c>
      <c r="V34" s="108" t="n">
        <f aca="false">U34*S34</f>
        <v>0</v>
      </c>
      <c r="W34" s="103"/>
      <c r="X34" s="113"/>
      <c r="Y34" s="36" t="s">
        <v>116</v>
      </c>
      <c r="Z34" s="108" t="n">
        <v>0</v>
      </c>
      <c r="AA34" s="108" t="n">
        <f aca="false">Z34*X34</f>
        <v>0</v>
      </c>
      <c r="AB34" s="103"/>
      <c r="AC34" s="113"/>
      <c r="AD34" s="36" t="s">
        <v>116</v>
      </c>
      <c r="AE34" s="108" t="n">
        <v>0</v>
      </c>
      <c r="AF34" s="108" t="n">
        <f aca="false">AE34*AC34</f>
        <v>0</v>
      </c>
      <c r="AG34" s="103"/>
      <c r="AH34" s="113"/>
      <c r="AI34" s="36" t="s">
        <v>116</v>
      </c>
      <c r="AJ34" s="108" t="n">
        <v>0</v>
      </c>
      <c r="AK34" s="108" t="n">
        <f aca="false">AJ34*AH34</f>
        <v>0</v>
      </c>
      <c r="AL34" s="103"/>
      <c r="AM34" s="113"/>
      <c r="AN34" s="36" t="s">
        <v>116</v>
      </c>
      <c r="AO34" s="108" t="n">
        <v>0</v>
      </c>
      <c r="AP34" s="108" t="n">
        <f aca="false">AO34*AM34</f>
        <v>0</v>
      </c>
      <c r="AQ34" s="103"/>
    </row>
    <row r="35" customFormat="false" ht="11.25" hidden="false" customHeight="true" outlineLevel="0" collapsed="false">
      <c r="A35" s="93" t="str">
        <f aca="false">IF(C35&lt;&gt;"",$A$4,"")</f>
        <v/>
      </c>
      <c r="B35" s="109"/>
      <c r="C35" s="112"/>
      <c r="D35" s="113"/>
      <c r="E35" s="36"/>
      <c r="F35" s="108"/>
      <c r="G35" s="108"/>
      <c r="H35" s="103"/>
      <c r="I35" s="113"/>
      <c r="J35" s="36"/>
      <c r="K35" s="108"/>
      <c r="L35" s="108"/>
      <c r="M35" s="103"/>
      <c r="N35" s="113"/>
      <c r="O35" s="36"/>
      <c r="P35" s="108"/>
      <c r="Q35" s="108"/>
      <c r="R35" s="103"/>
      <c r="S35" s="113"/>
      <c r="T35" s="36"/>
      <c r="U35" s="108"/>
      <c r="V35" s="108"/>
      <c r="W35" s="103"/>
      <c r="X35" s="113"/>
      <c r="Y35" s="36"/>
      <c r="Z35" s="108"/>
      <c r="AA35" s="108"/>
      <c r="AB35" s="103"/>
      <c r="AC35" s="113"/>
      <c r="AD35" s="36"/>
      <c r="AE35" s="108"/>
      <c r="AF35" s="108"/>
      <c r="AG35" s="103"/>
      <c r="AH35" s="113"/>
      <c r="AI35" s="36"/>
      <c r="AJ35" s="108"/>
      <c r="AK35" s="108"/>
      <c r="AL35" s="103"/>
      <c r="AM35" s="113"/>
      <c r="AN35" s="36"/>
      <c r="AO35" s="108"/>
      <c r="AP35" s="108"/>
      <c r="AQ35" s="103"/>
    </row>
    <row r="36" customFormat="false" ht="11.25" hidden="false" customHeight="true" outlineLevel="0" collapsed="false">
      <c r="A36" s="93" t="n">
        <f aca="false">IF(C36&lt;&gt;"",$A$4,"")</f>
        <v>3.1</v>
      </c>
      <c r="B36" s="109" t="str">
        <f aca="false">IF(C36&gt;0,IF(D36&gt;0,MAX($B$5:B35)+1," ")," ")</f>
        <v> </v>
      </c>
      <c r="C36" s="112" t="s">
        <v>221</v>
      </c>
      <c r="D36" s="113"/>
      <c r="E36" s="36" t="s">
        <v>116</v>
      </c>
      <c r="F36" s="108" t="n">
        <v>0</v>
      </c>
      <c r="G36" s="108" t="n">
        <f aca="false">F36*D36</f>
        <v>0</v>
      </c>
      <c r="H36" s="103"/>
      <c r="I36" s="113"/>
      <c r="J36" s="36" t="s">
        <v>116</v>
      </c>
      <c r="K36" s="108" t="n">
        <v>0</v>
      </c>
      <c r="L36" s="108" t="n">
        <f aca="false">K36*I36</f>
        <v>0</v>
      </c>
      <c r="M36" s="103"/>
      <c r="N36" s="113"/>
      <c r="O36" s="36" t="s">
        <v>116</v>
      </c>
      <c r="P36" s="108" t="n">
        <v>0</v>
      </c>
      <c r="Q36" s="108" t="n">
        <f aca="false">P36*N36</f>
        <v>0</v>
      </c>
      <c r="R36" s="103"/>
      <c r="S36" s="113"/>
      <c r="T36" s="36" t="s">
        <v>116</v>
      </c>
      <c r="U36" s="108" t="n">
        <v>0</v>
      </c>
      <c r="V36" s="108" t="n">
        <f aca="false">U36*S36</f>
        <v>0</v>
      </c>
      <c r="W36" s="103"/>
      <c r="X36" s="113"/>
      <c r="Y36" s="36" t="s">
        <v>116</v>
      </c>
      <c r="Z36" s="108" t="n">
        <v>0</v>
      </c>
      <c r="AA36" s="108" t="n">
        <f aca="false">Z36*X36</f>
        <v>0</v>
      </c>
      <c r="AB36" s="103"/>
      <c r="AC36" s="113"/>
      <c r="AD36" s="36" t="s">
        <v>116</v>
      </c>
      <c r="AE36" s="108" t="n">
        <v>0</v>
      </c>
      <c r="AF36" s="108" t="n">
        <f aca="false">AE36*AC36</f>
        <v>0</v>
      </c>
      <c r="AG36" s="103"/>
      <c r="AH36" s="113"/>
      <c r="AI36" s="36" t="s">
        <v>116</v>
      </c>
      <c r="AJ36" s="108" t="n">
        <v>0</v>
      </c>
      <c r="AK36" s="108" t="n">
        <f aca="false">AJ36*AH36</f>
        <v>0</v>
      </c>
      <c r="AL36" s="103"/>
      <c r="AM36" s="113"/>
      <c r="AN36" s="36" t="s">
        <v>116</v>
      </c>
      <c r="AO36" s="108" t="n">
        <v>0</v>
      </c>
      <c r="AP36" s="108" t="n">
        <f aca="false">AO36*AM36</f>
        <v>0</v>
      </c>
      <c r="AQ36" s="103"/>
    </row>
    <row r="37" customFormat="false" ht="11.25" hidden="false" customHeight="true" outlineLevel="0" collapsed="false">
      <c r="A37" s="93" t="str">
        <f aca="false">IF(C37&lt;&gt;"",$A$4,"")</f>
        <v/>
      </c>
      <c r="B37" s="109"/>
      <c r="C37" s="112"/>
      <c r="D37" s="113"/>
      <c r="E37" s="36"/>
      <c r="F37" s="108"/>
      <c r="G37" s="108"/>
      <c r="H37" s="103"/>
      <c r="I37" s="113"/>
      <c r="J37" s="36"/>
      <c r="K37" s="108"/>
      <c r="L37" s="108"/>
      <c r="M37" s="103"/>
      <c r="N37" s="113"/>
      <c r="O37" s="36"/>
      <c r="P37" s="108"/>
      <c r="Q37" s="108"/>
      <c r="R37" s="103"/>
      <c r="S37" s="113"/>
      <c r="T37" s="36"/>
      <c r="U37" s="108"/>
      <c r="V37" s="108"/>
      <c r="W37" s="103"/>
      <c r="X37" s="113"/>
      <c r="Y37" s="36"/>
      <c r="Z37" s="108"/>
      <c r="AA37" s="108"/>
      <c r="AB37" s="103"/>
      <c r="AC37" s="113"/>
      <c r="AD37" s="36"/>
      <c r="AE37" s="108"/>
      <c r="AF37" s="108"/>
      <c r="AG37" s="103"/>
      <c r="AH37" s="113"/>
      <c r="AI37" s="36"/>
      <c r="AJ37" s="108"/>
      <c r="AK37" s="108"/>
      <c r="AL37" s="103"/>
      <c r="AM37" s="113"/>
      <c r="AN37" s="36"/>
      <c r="AO37" s="108"/>
      <c r="AP37" s="108"/>
      <c r="AQ37" s="103"/>
    </row>
    <row r="38" customFormat="false" ht="11.25" hidden="false" customHeight="true" outlineLevel="0" collapsed="false">
      <c r="A38" s="93" t="n">
        <f aca="false">IF(C38&lt;&gt;"",$A$4,"")</f>
        <v>3.1</v>
      </c>
      <c r="B38" s="109" t="str">
        <f aca="false">IF(C38&gt;0,IF(D38&gt;0,MAX($B$5:B37)+1," ")," ")</f>
        <v> </v>
      </c>
      <c r="C38" s="112" t="s">
        <v>222</v>
      </c>
      <c r="D38" s="113"/>
      <c r="E38" s="36" t="s">
        <v>116</v>
      </c>
      <c r="F38" s="108" t="n">
        <v>0</v>
      </c>
      <c r="G38" s="108" t="n">
        <f aca="false">F38*D38</f>
        <v>0</v>
      </c>
      <c r="H38" s="103"/>
      <c r="I38" s="113"/>
      <c r="J38" s="36" t="s">
        <v>116</v>
      </c>
      <c r="K38" s="108" t="n">
        <v>0</v>
      </c>
      <c r="L38" s="108" t="n">
        <f aca="false">K38*I38</f>
        <v>0</v>
      </c>
      <c r="M38" s="103"/>
      <c r="N38" s="113"/>
      <c r="O38" s="36" t="s">
        <v>116</v>
      </c>
      <c r="P38" s="108" t="n">
        <v>0</v>
      </c>
      <c r="Q38" s="108" t="n">
        <f aca="false">P38*N38</f>
        <v>0</v>
      </c>
      <c r="R38" s="103"/>
      <c r="S38" s="113"/>
      <c r="T38" s="36" t="s">
        <v>116</v>
      </c>
      <c r="U38" s="108" t="n">
        <v>0</v>
      </c>
      <c r="V38" s="108" t="n">
        <f aca="false">U38*S38</f>
        <v>0</v>
      </c>
      <c r="W38" s="103"/>
      <c r="X38" s="113"/>
      <c r="Y38" s="36" t="s">
        <v>116</v>
      </c>
      <c r="Z38" s="108" t="n">
        <v>0</v>
      </c>
      <c r="AA38" s="108" t="n">
        <f aca="false">Z38*X38</f>
        <v>0</v>
      </c>
      <c r="AB38" s="103"/>
      <c r="AC38" s="113"/>
      <c r="AD38" s="36" t="s">
        <v>116</v>
      </c>
      <c r="AE38" s="108" t="n">
        <v>0</v>
      </c>
      <c r="AF38" s="108" t="n">
        <f aca="false">AE38*AC38</f>
        <v>0</v>
      </c>
      <c r="AG38" s="103"/>
      <c r="AH38" s="113"/>
      <c r="AI38" s="36" t="s">
        <v>116</v>
      </c>
      <c r="AJ38" s="108" t="n">
        <v>0</v>
      </c>
      <c r="AK38" s="108" t="n">
        <f aca="false">AJ38*AH38</f>
        <v>0</v>
      </c>
      <c r="AL38" s="103"/>
      <c r="AM38" s="113"/>
      <c r="AN38" s="36" t="s">
        <v>116</v>
      </c>
      <c r="AO38" s="108" t="n">
        <v>0</v>
      </c>
      <c r="AP38" s="108" t="n">
        <f aca="false">AO38*AM38</f>
        <v>0</v>
      </c>
      <c r="AQ38" s="103"/>
    </row>
    <row r="39" customFormat="false" ht="11.25" hidden="false" customHeight="true" outlineLevel="0" collapsed="false">
      <c r="A39" s="93" t="str">
        <f aca="false">IF(C39&lt;&gt;"",$A$4,"")</f>
        <v/>
      </c>
      <c r="B39" s="109" t="str">
        <f aca="false">IF(C39&gt;0,IF(D39&gt;0,MAX($B$3:B38)+1," ")," ")</f>
        <v> </v>
      </c>
      <c r="C39" s="112"/>
      <c r="D39" s="111"/>
      <c r="E39" s="36"/>
      <c r="F39" s="108"/>
      <c r="G39" s="108" t="str">
        <f aca="false">IF(ISBLANK(D39),"",D39*F39)</f>
        <v/>
      </c>
      <c r="H39" s="103"/>
      <c r="I39" s="111"/>
      <c r="J39" s="36"/>
      <c r="K39" s="108"/>
      <c r="L39" s="108" t="str">
        <f aca="false">IF(ISBLANK(I39),"",I39*K39)</f>
        <v/>
      </c>
      <c r="M39" s="103"/>
      <c r="N39" s="111"/>
      <c r="O39" s="36"/>
      <c r="P39" s="108"/>
      <c r="Q39" s="108" t="str">
        <f aca="false">IF(ISBLANK(N39),"",N39*P39)</f>
        <v/>
      </c>
      <c r="R39" s="103"/>
      <c r="S39" s="111"/>
      <c r="T39" s="36"/>
      <c r="U39" s="108"/>
      <c r="V39" s="108" t="str">
        <f aca="false">IF(ISBLANK(S39),"",S39*U39)</f>
        <v/>
      </c>
      <c r="W39" s="103"/>
      <c r="X39" s="111"/>
      <c r="Y39" s="36"/>
      <c r="Z39" s="108"/>
      <c r="AA39" s="108" t="str">
        <f aca="false">IF(ISBLANK(X39),"",X39*Z39)</f>
        <v/>
      </c>
      <c r="AB39" s="103"/>
      <c r="AC39" s="111"/>
      <c r="AD39" s="36"/>
      <c r="AE39" s="108"/>
      <c r="AF39" s="108" t="str">
        <f aca="false">IF(ISBLANK(AC39),"",AC39*AE39)</f>
        <v/>
      </c>
      <c r="AG39" s="103"/>
      <c r="AH39" s="111"/>
      <c r="AI39" s="36"/>
      <c r="AJ39" s="108"/>
      <c r="AK39" s="108" t="str">
        <f aca="false">IF(ISBLANK(AH39),"",AH39*AJ39)</f>
        <v/>
      </c>
      <c r="AL39" s="103"/>
      <c r="AM39" s="111"/>
      <c r="AN39" s="36"/>
      <c r="AO39" s="108"/>
      <c r="AP39" s="108" t="str">
        <f aca="false">IF(ISBLANK(AM39),"",AM39*AO39)</f>
        <v/>
      </c>
      <c r="AQ39" s="103"/>
    </row>
    <row r="40" customFormat="false" ht="11.25" hidden="false" customHeight="true" outlineLevel="0" collapsed="false">
      <c r="A40" s="93" t="n">
        <f aca="false">IF(C40&lt;&gt;"",$A$4,"")</f>
        <v>3.1</v>
      </c>
      <c r="B40" s="109" t="str">
        <f aca="false">IF(C40&gt;0,IF(D40&gt;0,MAX($B$5:B39)+1," ")," ")</f>
        <v> </v>
      </c>
      <c r="C40" s="112" t="s">
        <v>223</v>
      </c>
      <c r="D40" s="113"/>
      <c r="E40" s="36" t="s">
        <v>116</v>
      </c>
      <c r="F40" s="108" t="n">
        <v>0</v>
      </c>
      <c r="G40" s="108" t="n">
        <f aca="false">F40*D40</f>
        <v>0</v>
      </c>
      <c r="H40" s="103"/>
      <c r="I40" s="113"/>
      <c r="J40" s="36" t="s">
        <v>116</v>
      </c>
      <c r="K40" s="108" t="n">
        <v>0</v>
      </c>
      <c r="L40" s="108" t="n">
        <f aca="false">K40*I40</f>
        <v>0</v>
      </c>
      <c r="M40" s="103"/>
      <c r="N40" s="113"/>
      <c r="O40" s="36" t="s">
        <v>116</v>
      </c>
      <c r="P40" s="108" t="n">
        <v>0</v>
      </c>
      <c r="Q40" s="108" t="n">
        <f aca="false">P40*N40</f>
        <v>0</v>
      </c>
      <c r="R40" s="103"/>
      <c r="S40" s="113"/>
      <c r="T40" s="36" t="s">
        <v>116</v>
      </c>
      <c r="U40" s="108" t="n">
        <v>0</v>
      </c>
      <c r="V40" s="108" t="n">
        <f aca="false">U40*S40</f>
        <v>0</v>
      </c>
      <c r="W40" s="103"/>
      <c r="X40" s="113"/>
      <c r="Y40" s="36" t="s">
        <v>116</v>
      </c>
      <c r="Z40" s="108" t="n">
        <v>0</v>
      </c>
      <c r="AA40" s="108" t="n">
        <f aca="false">Z40*X40</f>
        <v>0</v>
      </c>
      <c r="AB40" s="103"/>
      <c r="AC40" s="113"/>
      <c r="AD40" s="36" t="s">
        <v>116</v>
      </c>
      <c r="AE40" s="108" t="n">
        <v>0</v>
      </c>
      <c r="AF40" s="108" t="n">
        <f aca="false">AE40*AC40</f>
        <v>0</v>
      </c>
      <c r="AG40" s="103"/>
      <c r="AH40" s="113"/>
      <c r="AI40" s="36" t="s">
        <v>116</v>
      </c>
      <c r="AJ40" s="108" t="n">
        <v>0</v>
      </c>
      <c r="AK40" s="108" t="n">
        <f aca="false">AJ40*AH40</f>
        <v>0</v>
      </c>
      <c r="AL40" s="103"/>
      <c r="AM40" s="113"/>
      <c r="AN40" s="36" t="s">
        <v>116</v>
      </c>
      <c r="AO40" s="108" t="n">
        <v>0</v>
      </c>
      <c r="AP40" s="108" t="n">
        <f aca="false">AO40*AM40</f>
        <v>0</v>
      </c>
      <c r="AQ40" s="103"/>
    </row>
    <row r="41" customFormat="false" ht="11.25" hidden="false" customHeight="true" outlineLevel="0" collapsed="false">
      <c r="A41" s="93" t="str">
        <f aca="false">IF(C41&lt;&gt;"",$A$4,"")</f>
        <v/>
      </c>
      <c r="B41" s="109"/>
      <c r="C41" s="112"/>
      <c r="D41" s="113"/>
      <c r="E41" s="36"/>
      <c r="F41" s="108"/>
      <c r="G41" s="108"/>
      <c r="H41" s="103"/>
      <c r="I41" s="113"/>
      <c r="J41" s="36"/>
      <c r="K41" s="108"/>
      <c r="L41" s="108"/>
      <c r="M41" s="103"/>
      <c r="N41" s="113"/>
      <c r="O41" s="36"/>
      <c r="P41" s="108"/>
      <c r="Q41" s="108"/>
      <c r="R41" s="103"/>
      <c r="S41" s="113"/>
      <c r="T41" s="36"/>
      <c r="U41" s="108"/>
      <c r="V41" s="108"/>
      <c r="W41" s="103"/>
      <c r="X41" s="113"/>
      <c r="Y41" s="36"/>
      <c r="Z41" s="108"/>
      <c r="AA41" s="108"/>
      <c r="AB41" s="103"/>
      <c r="AC41" s="113"/>
      <c r="AD41" s="36"/>
      <c r="AE41" s="108"/>
      <c r="AF41" s="108"/>
      <c r="AG41" s="103"/>
      <c r="AH41" s="113"/>
      <c r="AI41" s="36"/>
      <c r="AJ41" s="108"/>
      <c r="AK41" s="108"/>
      <c r="AL41" s="103"/>
      <c r="AM41" s="113"/>
      <c r="AN41" s="36"/>
      <c r="AO41" s="108"/>
      <c r="AP41" s="108"/>
      <c r="AQ41" s="103"/>
    </row>
    <row r="42" customFormat="false" ht="11.25" hidden="false" customHeight="true" outlineLevel="0" collapsed="false">
      <c r="A42" s="93" t="n">
        <f aca="false">IF(C42&lt;&gt;"",$A$4,"")</f>
        <v>3.1</v>
      </c>
      <c r="B42" s="109" t="str">
        <f aca="false">IF(C42&gt;0,IF(D42&gt;0,MAX($B$5:B41)+1," ")," ")</f>
        <v> </v>
      </c>
      <c r="C42" s="112" t="s">
        <v>220</v>
      </c>
      <c r="D42" s="113"/>
      <c r="E42" s="36" t="s">
        <v>116</v>
      </c>
      <c r="F42" s="108" t="n">
        <v>0</v>
      </c>
      <c r="G42" s="108" t="n">
        <f aca="false">F42*D42</f>
        <v>0</v>
      </c>
      <c r="H42" s="103"/>
      <c r="I42" s="113"/>
      <c r="J42" s="36" t="s">
        <v>116</v>
      </c>
      <c r="K42" s="108" t="n">
        <v>0</v>
      </c>
      <c r="L42" s="108" t="n">
        <f aca="false">K42*I42</f>
        <v>0</v>
      </c>
      <c r="M42" s="103"/>
      <c r="N42" s="113"/>
      <c r="O42" s="36" t="s">
        <v>116</v>
      </c>
      <c r="P42" s="108" t="n">
        <v>0</v>
      </c>
      <c r="Q42" s="108" t="n">
        <f aca="false">P42*N42</f>
        <v>0</v>
      </c>
      <c r="R42" s="103"/>
      <c r="S42" s="113"/>
      <c r="T42" s="36" t="s">
        <v>116</v>
      </c>
      <c r="U42" s="108" t="n">
        <v>0</v>
      </c>
      <c r="V42" s="108" t="n">
        <f aca="false">U42*S42</f>
        <v>0</v>
      </c>
      <c r="W42" s="103"/>
      <c r="X42" s="113"/>
      <c r="Y42" s="36" t="s">
        <v>116</v>
      </c>
      <c r="Z42" s="108" t="n">
        <v>0</v>
      </c>
      <c r="AA42" s="108" t="n">
        <f aca="false">Z42*X42</f>
        <v>0</v>
      </c>
      <c r="AB42" s="103"/>
      <c r="AC42" s="113"/>
      <c r="AD42" s="36" t="s">
        <v>116</v>
      </c>
      <c r="AE42" s="108" t="n">
        <v>0</v>
      </c>
      <c r="AF42" s="108" t="n">
        <f aca="false">AE42*AC42</f>
        <v>0</v>
      </c>
      <c r="AG42" s="103"/>
      <c r="AH42" s="113"/>
      <c r="AI42" s="36" t="s">
        <v>116</v>
      </c>
      <c r="AJ42" s="108" t="n">
        <v>0</v>
      </c>
      <c r="AK42" s="108" t="n">
        <f aca="false">AJ42*AH42</f>
        <v>0</v>
      </c>
      <c r="AL42" s="103"/>
      <c r="AM42" s="113"/>
      <c r="AN42" s="36" t="s">
        <v>116</v>
      </c>
      <c r="AO42" s="108" t="n">
        <v>0</v>
      </c>
      <c r="AP42" s="108" t="n">
        <f aca="false">AO42*AM42</f>
        <v>0</v>
      </c>
      <c r="AQ42" s="103"/>
    </row>
    <row r="43" customFormat="false" ht="11.25" hidden="false" customHeight="true" outlineLevel="0" collapsed="false">
      <c r="A43" s="93" t="str">
        <f aca="false">IF(C43&lt;&gt;"",$A$4,"")</f>
        <v/>
      </c>
      <c r="B43" s="109"/>
      <c r="C43" s="112"/>
      <c r="D43" s="113"/>
      <c r="E43" s="36"/>
      <c r="F43" s="108"/>
      <c r="G43" s="108"/>
      <c r="H43" s="103"/>
      <c r="I43" s="113"/>
      <c r="J43" s="36"/>
      <c r="K43" s="108"/>
      <c r="L43" s="108"/>
      <c r="M43" s="103"/>
      <c r="N43" s="113"/>
      <c r="O43" s="36"/>
      <c r="P43" s="108"/>
      <c r="Q43" s="108"/>
      <c r="R43" s="103"/>
      <c r="S43" s="113"/>
      <c r="T43" s="36"/>
      <c r="U43" s="108"/>
      <c r="V43" s="108"/>
      <c r="W43" s="103"/>
      <c r="X43" s="113"/>
      <c r="Y43" s="36"/>
      <c r="Z43" s="108"/>
      <c r="AA43" s="108"/>
      <c r="AB43" s="103"/>
      <c r="AC43" s="113"/>
      <c r="AD43" s="36"/>
      <c r="AE43" s="108"/>
      <c r="AF43" s="108"/>
      <c r="AG43" s="103"/>
      <c r="AH43" s="113"/>
      <c r="AI43" s="36"/>
      <c r="AJ43" s="108"/>
      <c r="AK43" s="108"/>
      <c r="AL43" s="103"/>
      <c r="AM43" s="113"/>
      <c r="AN43" s="36"/>
      <c r="AO43" s="108"/>
      <c r="AP43" s="108"/>
      <c r="AQ43" s="103"/>
    </row>
    <row r="44" customFormat="false" ht="11.25" hidden="false" customHeight="true" outlineLevel="0" collapsed="false">
      <c r="A44" s="93" t="n">
        <f aca="false">IF(C44&lt;&gt;"",$A$4,"")</f>
        <v>3.1</v>
      </c>
      <c r="B44" s="109" t="str">
        <f aca="false">IF(C44&gt;0,IF(D44&gt;0,MAX($B$5:B43)+1," ")," ")</f>
        <v> </v>
      </c>
      <c r="C44" s="112" t="s">
        <v>221</v>
      </c>
      <c r="D44" s="113"/>
      <c r="E44" s="36" t="s">
        <v>116</v>
      </c>
      <c r="F44" s="108" t="n">
        <v>0</v>
      </c>
      <c r="G44" s="108" t="n">
        <f aca="false">F44*D44</f>
        <v>0</v>
      </c>
      <c r="H44" s="103"/>
      <c r="I44" s="113"/>
      <c r="J44" s="36" t="s">
        <v>116</v>
      </c>
      <c r="K44" s="108" t="n">
        <v>0</v>
      </c>
      <c r="L44" s="108" t="n">
        <f aca="false">K44*I44</f>
        <v>0</v>
      </c>
      <c r="M44" s="103"/>
      <c r="N44" s="113"/>
      <c r="O44" s="36" t="s">
        <v>116</v>
      </c>
      <c r="P44" s="108" t="n">
        <v>0</v>
      </c>
      <c r="Q44" s="108" t="n">
        <f aca="false">P44*N44</f>
        <v>0</v>
      </c>
      <c r="R44" s="103"/>
      <c r="S44" s="113"/>
      <c r="T44" s="36" t="s">
        <v>116</v>
      </c>
      <c r="U44" s="108" t="n">
        <v>0</v>
      </c>
      <c r="V44" s="108" t="n">
        <f aca="false">U44*S44</f>
        <v>0</v>
      </c>
      <c r="W44" s="103"/>
      <c r="X44" s="113"/>
      <c r="Y44" s="36" t="s">
        <v>116</v>
      </c>
      <c r="Z44" s="108" t="n">
        <v>0</v>
      </c>
      <c r="AA44" s="108" t="n">
        <f aca="false">Z44*X44</f>
        <v>0</v>
      </c>
      <c r="AB44" s="103"/>
      <c r="AC44" s="113"/>
      <c r="AD44" s="36" t="s">
        <v>116</v>
      </c>
      <c r="AE44" s="108" t="n">
        <v>0</v>
      </c>
      <c r="AF44" s="108" t="n">
        <f aca="false">AE44*AC44</f>
        <v>0</v>
      </c>
      <c r="AG44" s="103"/>
      <c r="AH44" s="113"/>
      <c r="AI44" s="36" t="s">
        <v>116</v>
      </c>
      <c r="AJ44" s="108" t="n">
        <v>0</v>
      </c>
      <c r="AK44" s="108" t="n">
        <f aca="false">AJ44*AH44</f>
        <v>0</v>
      </c>
      <c r="AL44" s="103"/>
      <c r="AM44" s="113"/>
      <c r="AN44" s="36" t="s">
        <v>116</v>
      </c>
      <c r="AO44" s="108" t="n">
        <v>0</v>
      </c>
      <c r="AP44" s="108" t="n">
        <f aca="false">AO44*AM44</f>
        <v>0</v>
      </c>
      <c r="AQ44" s="103"/>
    </row>
    <row r="45" customFormat="false" ht="11.25" hidden="false" customHeight="true" outlineLevel="0" collapsed="false">
      <c r="A45" s="93" t="str">
        <f aca="false">IF(C45&lt;&gt;"",$A$4,"")</f>
        <v/>
      </c>
      <c r="B45" s="109"/>
      <c r="C45" s="112"/>
      <c r="D45" s="113"/>
      <c r="E45" s="36"/>
      <c r="F45" s="108"/>
      <c r="G45" s="108"/>
      <c r="H45" s="103"/>
      <c r="I45" s="113"/>
      <c r="J45" s="36"/>
      <c r="K45" s="108"/>
      <c r="L45" s="108"/>
      <c r="M45" s="103"/>
      <c r="N45" s="113"/>
      <c r="O45" s="36"/>
      <c r="P45" s="108"/>
      <c r="Q45" s="108"/>
      <c r="R45" s="103"/>
      <c r="S45" s="113"/>
      <c r="T45" s="36"/>
      <c r="U45" s="108"/>
      <c r="V45" s="108"/>
      <c r="W45" s="103"/>
      <c r="X45" s="113"/>
      <c r="Y45" s="36"/>
      <c r="Z45" s="108"/>
      <c r="AA45" s="108"/>
      <c r="AB45" s="103"/>
      <c r="AC45" s="113"/>
      <c r="AD45" s="36"/>
      <c r="AE45" s="108"/>
      <c r="AF45" s="108"/>
      <c r="AG45" s="103"/>
      <c r="AH45" s="113"/>
      <c r="AI45" s="36"/>
      <c r="AJ45" s="108"/>
      <c r="AK45" s="108"/>
      <c r="AL45" s="103"/>
      <c r="AM45" s="113"/>
      <c r="AN45" s="36"/>
      <c r="AO45" s="108"/>
      <c r="AP45" s="108"/>
      <c r="AQ45" s="103"/>
    </row>
    <row r="46" customFormat="false" ht="11.25" hidden="false" customHeight="true" outlineLevel="0" collapsed="false">
      <c r="A46" s="93" t="n">
        <f aca="false">IF(C46&lt;&gt;"",$A$4,"")</f>
        <v>3.1</v>
      </c>
      <c r="B46" s="109" t="str">
        <f aca="false">IF(C46&gt;0,IF(D46&gt;0,MAX($B$5:B45)+1," ")," ")</f>
        <v> </v>
      </c>
      <c r="C46" s="112" t="s">
        <v>222</v>
      </c>
      <c r="D46" s="113"/>
      <c r="E46" s="36" t="s">
        <v>116</v>
      </c>
      <c r="F46" s="108" t="n">
        <v>0</v>
      </c>
      <c r="G46" s="108" t="n">
        <f aca="false">F46*D46</f>
        <v>0</v>
      </c>
      <c r="H46" s="103"/>
      <c r="I46" s="113"/>
      <c r="J46" s="36" t="s">
        <v>116</v>
      </c>
      <c r="K46" s="108" t="n">
        <v>0</v>
      </c>
      <c r="L46" s="108" t="n">
        <f aca="false">K46*I46</f>
        <v>0</v>
      </c>
      <c r="M46" s="103"/>
      <c r="N46" s="113"/>
      <c r="O46" s="36" t="s">
        <v>116</v>
      </c>
      <c r="P46" s="108" t="n">
        <v>0</v>
      </c>
      <c r="Q46" s="108" t="n">
        <f aca="false">P46*N46</f>
        <v>0</v>
      </c>
      <c r="R46" s="103"/>
      <c r="S46" s="113"/>
      <c r="T46" s="36" t="s">
        <v>116</v>
      </c>
      <c r="U46" s="108" t="n">
        <v>0</v>
      </c>
      <c r="V46" s="108" t="n">
        <f aca="false">U46*S46</f>
        <v>0</v>
      </c>
      <c r="W46" s="103"/>
      <c r="X46" s="113"/>
      <c r="Y46" s="36" t="s">
        <v>116</v>
      </c>
      <c r="Z46" s="108" t="n">
        <v>0</v>
      </c>
      <c r="AA46" s="108" t="n">
        <f aca="false">Z46*X46</f>
        <v>0</v>
      </c>
      <c r="AB46" s="103"/>
      <c r="AC46" s="113"/>
      <c r="AD46" s="36" t="s">
        <v>116</v>
      </c>
      <c r="AE46" s="108" t="n">
        <v>0</v>
      </c>
      <c r="AF46" s="108" t="n">
        <f aca="false">AE46*AC46</f>
        <v>0</v>
      </c>
      <c r="AG46" s="103"/>
      <c r="AH46" s="113"/>
      <c r="AI46" s="36" t="s">
        <v>116</v>
      </c>
      <c r="AJ46" s="108" t="n">
        <v>0</v>
      </c>
      <c r="AK46" s="108" t="n">
        <f aca="false">AJ46*AH46</f>
        <v>0</v>
      </c>
      <c r="AL46" s="103"/>
      <c r="AM46" s="113"/>
      <c r="AN46" s="36" t="s">
        <v>116</v>
      </c>
      <c r="AO46" s="108" t="n">
        <v>0</v>
      </c>
      <c r="AP46" s="108" t="n">
        <f aca="false">AO46*AM46</f>
        <v>0</v>
      </c>
      <c r="AQ46" s="103"/>
    </row>
    <row r="47" customFormat="false" ht="11.25" hidden="false" customHeight="true" outlineLevel="0" collapsed="false">
      <c r="B47" s="109"/>
      <c r="C47" s="114"/>
      <c r="D47" s="115"/>
      <c r="E47" s="36"/>
      <c r="F47" s="108"/>
      <c r="G47" s="108"/>
      <c r="H47" s="103"/>
      <c r="I47" s="115"/>
      <c r="J47" s="36"/>
      <c r="K47" s="108"/>
      <c r="L47" s="108"/>
      <c r="M47" s="103"/>
      <c r="N47" s="115"/>
      <c r="O47" s="36"/>
      <c r="P47" s="108"/>
      <c r="Q47" s="108"/>
      <c r="R47" s="103"/>
      <c r="S47" s="115"/>
      <c r="T47" s="36"/>
      <c r="U47" s="108"/>
      <c r="V47" s="108"/>
      <c r="W47" s="103"/>
      <c r="X47" s="115"/>
      <c r="Y47" s="36"/>
      <c r="Z47" s="108"/>
      <c r="AA47" s="108"/>
      <c r="AB47" s="103"/>
      <c r="AC47" s="115"/>
      <c r="AD47" s="36"/>
      <c r="AE47" s="108"/>
      <c r="AF47" s="108"/>
      <c r="AG47" s="103"/>
      <c r="AH47" s="115"/>
      <c r="AI47" s="36"/>
      <c r="AJ47" s="108"/>
      <c r="AK47" s="108"/>
      <c r="AL47" s="103"/>
      <c r="AM47" s="115"/>
      <c r="AN47" s="36"/>
      <c r="AO47" s="108"/>
      <c r="AP47" s="108"/>
      <c r="AQ47" s="103"/>
    </row>
    <row r="48" customFormat="false" ht="11.25" hidden="false" customHeight="true" outlineLevel="0" collapsed="false">
      <c r="A48" s="93" t="n">
        <f aca="false">IF(C48&lt;&gt;"",$A$4,"")</f>
        <v>3.1</v>
      </c>
      <c r="B48" s="109" t="str">
        <f aca="false">IF(C48&gt;0,IF(D48&gt;0,MAX($B$5:B30)+1," ")," ")</f>
        <v> </v>
      </c>
      <c r="C48" s="116" t="s">
        <v>224</v>
      </c>
      <c r="D48" s="106"/>
      <c r="E48" s="37"/>
      <c r="F48" s="107"/>
      <c r="G48" s="107" t="str">
        <f aca="false">IF(ISBLANK(D48),"",D48*F48)</f>
        <v/>
      </c>
      <c r="H48" s="103"/>
      <c r="I48" s="106"/>
      <c r="J48" s="37"/>
      <c r="K48" s="107"/>
      <c r="L48" s="107" t="str">
        <f aca="false">IF(ISBLANK(I48),"",I48*K48)</f>
        <v/>
      </c>
      <c r="M48" s="103"/>
      <c r="N48" s="106"/>
      <c r="O48" s="37"/>
      <c r="P48" s="107"/>
      <c r="Q48" s="107" t="str">
        <f aca="false">IF(ISBLANK(N48),"",N48*P48)</f>
        <v/>
      </c>
      <c r="R48" s="103"/>
      <c r="S48" s="106"/>
      <c r="T48" s="37"/>
      <c r="U48" s="107"/>
      <c r="V48" s="107" t="str">
        <f aca="false">IF(ISBLANK(S48),"",S48*U48)</f>
        <v/>
      </c>
      <c r="W48" s="103"/>
      <c r="X48" s="106"/>
      <c r="Y48" s="37"/>
      <c r="Z48" s="107"/>
      <c r="AA48" s="107" t="str">
        <f aca="false">IF(ISBLANK(X48),"",X48*Z48)</f>
        <v/>
      </c>
      <c r="AB48" s="103"/>
      <c r="AC48" s="106"/>
      <c r="AD48" s="37"/>
      <c r="AE48" s="107"/>
      <c r="AF48" s="107" t="str">
        <f aca="false">IF(ISBLANK(AC48),"",AC48*AE48)</f>
        <v/>
      </c>
      <c r="AG48" s="103"/>
      <c r="AH48" s="106"/>
      <c r="AI48" s="37"/>
      <c r="AJ48" s="107"/>
      <c r="AK48" s="107" t="str">
        <f aca="false">IF(ISBLANK(AH48),"",AH48*AJ48)</f>
        <v/>
      </c>
      <c r="AL48" s="103"/>
      <c r="AM48" s="106"/>
      <c r="AN48" s="37"/>
      <c r="AO48" s="107"/>
      <c r="AP48" s="107" t="str">
        <f aca="false">IF(ISBLANK(AM48),"",AM48*AO48)</f>
        <v/>
      </c>
      <c r="AQ48" s="103"/>
    </row>
    <row r="49" customFormat="false" ht="11.25" hidden="false" customHeight="true" outlineLevel="0" collapsed="false">
      <c r="A49" s="93" t="n">
        <f aca="false">IF(C49&lt;&gt;"",$A$4,"")</f>
        <v>3.1</v>
      </c>
      <c r="B49" s="109" t="n">
        <f aca="false">IF(C49&gt;0,IF(D49&gt;0,MAX($B$5:B48)+1," ")," ")</f>
        <v>2</v>
      </c>
      <c r="C49" s="70" t="s">
        <v>225</v>
      </c>
      <c r="D49" s="106" t="n">
        <v>1</v>
      </c>
      <c r="E49" s="37" t="s">
        <v>209</v>
      </c>
      <c r="F49" s="107"/>
      <c r="G49" s="107" t="n">
        <f aca="false">IF(ISBLANK(D49),"",D49*F49)</f>
        <v>0</v>
      </c>
      <c r="H49" s="103"/>
      <c r="I49" s="106" t="n">
        <v>1</v>
      </c>
      <c r="J49" s="37" t="s">
        <v>209</v>
      </c>
      <c r="K49" s="107"/>
      <c r="L49" s="107" t="n">
        <f aca="false">IF(ISBLANK(I49),"",I49*K49)</f>
        <v>0</v>
      </c>
      <c r="M49" s="103"/>
      <c r="N49" s="106" t="n">
        <v>1</v>
      </c>
      <c r="O49" s="37" t="s">
        <v>209</v>
      </c>
      <c r="P49" s="107"/>
      <c r="Q49" s="107" t="n">
        <f aca="false">IF(ISBLANK(N49),"",N49*P49)</f>
        <v>0</v>
      </c>
      <c r="R49" s="103"/>
      <c r="S49" s="106" t="n">
        <v>1</v>
      </c>
      <c r="T49" s="37" t="s">
        <v>209</v>
      </c>
      <c r="U49" s="107"/>
      <c r="V49" s="107" t="n">
        <f aca="false">IF(ISBLANK(S49),"",S49*U49)</f>
        <v>0</v>
      </c>
      <c r="W49" s="103"/>
      <c r="X49" s="106" t="n">
        <v>1</v>
      </c>
      <c r="Y49" s="37" t="s">
        <v>209</v>
      </c>
      <c r="Z49" s="107"/>
      <c r="AA49" s="107" t="n">
        <f aca="false">IF(ISBLANK(X49),"",X49*Z49)</f>
        <v>0</v>
      </c>
      <c r="AB49" s="103"/>
      <c r="AC49" s="106" t="n">
        <v>1</v>
      </c>
      <c r="AD49" s="37" t="s">
        <v>209</v>
      </c>
      <c r="AE49" s="107"/>
      <c r="AF49" s="107" t="n">
        <f aca="false">IF(ISBLANK(AC49),"",AC49*AE49)</f>
        <v>0</v>
      </c>
      <c r="AG49" s="103"/>
      <c r="AH49" s="106" t="n">
        <v>1</v>
      </c>
      <c r="AI49" s="37" t="s">
        <v>209</v>
      </c>
      <c r="AJ49" s="107"/>
      <c r="AK49" s="107" t="n">
        <f aca="false">IF(ISBLANK(AH49),"",AH49*AJ49)</f>
        <v>0</v>
      </c>
      <c r="AL49" s="103"/>
      <c r="AM49" s="106" t="n">
        <v>1</v>
      </c>
      <c r="AN49" s="37" t="s">
        <v>209</v>
      </c>
      <c r="AO49" s="107"/>
      <c r="AP49" s="107" t="n">
        <f aca="false">IF(ISBLANK(AM49),"",AM49*AO49)</f>
        <v>0</v>
      </c>
      <c r="AQ49" s="103"/>
    </row>
    <row r="50" customFormat="false" ht="11.25" hidden="false" customHeight="true" outlineLevel="0" collapsed="false">
      <c r="A50" s="93" t="n">
        <f aca="false">IF(C50&lt;&gt;"",$A$4,"")</f>
        <v>3.1</v>
      </c>
      <c r="B50" s="109" t="n">
        <f aca="false">IF(C50&gt;0,IF(D50&gt;0,MAX($B$5:B49)+1," ")," ")</f>
        <v>3</v>
      </c>
      <c r="C50" s="70" t="s">
        <v>225</v>
      </c>
      <c r="D50" s="106" t="n">
        <v>1</v>
      </c>
      <c r="E50" s="37" t="s">
        <v>226</v>
      </c>
      <c r="F50" s="107"/>
      <c r="G50" s="107" t="n">
        <f aca="false">IF(ISBLANK(D50),"",D50*F50)</f>
        <v>0</v>
      </c>
      <c r="H50" s="103"/>
      <c r="I50" s="106" t="n">
        <v>1</v>
      </c>
      <c r="J50" s="37" t="s">
        <v>226</v>
      </c>
      <c r="K50" s="107"/>
      <c r="L50" s="107" t="n">
        <f aca="false">IF(ISBLANK(I50),"",I50*K50)</f>
        <v>0</v>
      </c>
      <c r="M50" s="103"/>
      <c r="N50" s="106" t="n">
        <v>1</v>
      </c>
      <c r="O50" s="37" t="s">
        <v>226</v>
      </c>
      <c r="P50" s="107"/>
      <c r="Q50" s="107" t="n">
        <f aca="false">IF(ISBLANK(N50),"",N50*P50)</f>
        <v>0</v>
      </c>
      <c r="R50" s="103"/>
      <c r="S50" s="106" t="n">
        <v>1</v>
      </c>
      <c r="T50" s="37" t="s">
        <v>226</v>
      </c>
      <c r="U50" s="107"/>
      <c r="V50" s="107" t="n">
        <f aca="false">IF(ISBLANK(S50),"",S50*U50)</f>
        <v>0</v>
      </c>
      <c r="W50" s="103"/>
      <c r="X50" s="106" t="n">
        <v>1</v>
      </c>
      <c r="Y50" s="37" t="s">
        <v>226</v>
      </c>
      <c r="Z50" s="107"/>
      <c r="AA50" s="107" t="n">
        <f aca="false">IF(ISBLANK(X50),"",X50*Z50)</f>
        <v>0</v>
      </c>
      <c r="AB50" s="103"/>
      <c r="AC50" s="106" t="n">
        <v>1</v>
      </c>
      <c r="AD50" s="37" t="s">
        <v>226</v>
      </c>
      <c r="AE50" s="107"/>
      <c r="AF50" s="107" t="n">
        <f aca="false">IF(ISBLANK(AC50),"",AC50*AE50)</f>
        <v>0</v>
      </c>
      <c r="AG50" s="103"/>
      <c r="AH50" s="106" t="n">
        <v>1</v>
      </c>
      <c r="AI50" s="37" t="s">
        <v>226</v>
      </c>
      <c r="AJ50" s="107"/>
      <c r="AK50" s="107" t="n">
        <f aca="false">IF(ISBLANK(AH50),"",AH50*AJ50)</f>
        <v>0</v>
      </c>
      <c r="AL50" s="103"/>
      <c r="AM50" s="106" t="n">
        <v>1</v>
      </c>
      <c r="AN50" s="37" t="s">
        <v>226</v>
      </c>
      <c r="AO50" s="107"/>
      <c r="AP50" s="107" t="n">
        <f aca="false">IF(ISBLANK(AM50),"",AM50*AO50)</f>
        <v>0</v>
      </c>
      <c r="AQ50" s="103"/>
    </row>
    <row r="51" customFormat="false" ht="11.25" hidden="false" customHeight="true" outlineLevel="0" collapsed="false">
      <c r="A51" s="93" t="n">
        <f aca="false">IF(C51&lt;&gt;"",$A$4,"")</f>
        <v>3.1</v>
      </c>
      <c r="B51" s="109" t="n">
        <f aca="false">IF(C51&gt;0,IF(D51&gt;0,MAX($B$5:B50)+1," ")," ")</f>
        <v>4</v>
      </c>
      <c r="C51" s="70" t="s">
        <v>225</v>
      </c>
      <c r="D51" s="106" t="n">
        <v>1</v>
      </c>
      <c r="E51" s="37" t="s">
        <v>226</v>
      </c>
      <c r="F51" s="107"/>
      <c r="G51" s="107" t="n">
        <f aca="false">IF(ISBLANK(D51),"",D51*F51)</f>
        <v>0</v>
      </c>
      <c r="H51" s="103"/>
      <c r="I51" s="106" t="n">
        <v>1</v>
      </c>
      <c r="J51" s="37" t="s">
        <v>226</v>
      </c>
      <c r="K51" s="107"/>
      <c r="L51" s="107" t="n">
        <f aca="false">IF(ISBLANK(I51),"",I51*K51)</f>
        <v>0</v>
      </c>
      <c r="M51" s="103"/>
      <c r="N51" s="106" t="n">
        <v>1</v>
      </c>
      <c r="O51" s="37" t="s">
        <v>226</v>
      </c>
      <c r="P51" s="107"/>
      <c r="Q51" s="107" t="n">
        <f aca="false">IF(ISBLANK(N51),"",N51*P51)</f>
        <v>0</v>
      </c>
      <c r="R51" s="103"/>
      <c r="S51" s="106" t="n">
        <v>1</v>
      </c>
      <c r="T51" s="37" t="s">
        <v>226</v>
      </c>
      <c r="U51" s="107"/>
      <c r="V51" s="107" t="n">
        <f aca="false">IF(ISBLANK(S51),"",S51*U51)</f>
        <v>0</v>
      </c>
      <c r="W51" s="103"/>
      <c r="X51" s="106" t="n">
        <v>1</v>
      </c>
      <c r="Y51" s="37" t="s">
        <v>226</v>
      </c>
      <c r="Z51" s="107"/>
      <c r="AA51" s="107" t="n">
        <f aca="false">IF(ISBLANK(X51),"",X51*Z51)</f>
        <v>0</v>
      </c>
      <c r="AB51" s="103"/>
      <c r="AC51" s="106" t="n">
        <v>1</v>
      </c>
      <c r="AD51" s="37" t="s">
        <v>226</v>
      </c>
      <c r="AE51" s="107"/>
      <c r="AF51" s="107" t="n">
        <f aca="false">IF(ISBLANK(AC51),"",AC51*AE51)</f>
        <v>0</v>
      </c>
      <c r="AG51" s="103"/>
      <c r="AH51" s="106" t="n">
        <v>1</v>
      </c>
      <c r="AI51" s="37" t="s">
        <v>226</v>
      </c>
      <c r="AJ51" s="107"/>
      <c r="AK51" s="107" t="n">
        <f aca="false">IF(ISBLANK(AH51),"",AH51*AJ51)</f>
        <v>0</v>
      </c>
      <c r="AL51" s="103"/>
      <c r="AM51" s="106" t="n">
        <v>1</v>
      </c>
      <c r="AN51" s="37" t="s">
        <v>226</v>
      </c>
      <c r="AO51" s="107"/>
      <c r="AP51" s="107" t="n">
        <f aca="false">IF(ISBLANK(AM51),"",AM51*AO51)</f>
        <v>0</v>
      </c>
      <c r="AQ51" s="103"/>
    </row>
    <row r="52" customFormat="false" ht="11.25" hidden="false" customHeight="true" outlineLevel="0" collapsed="false">
      <c r="A52" s="93" t="n">
        <f aca="false">IF(C52&lt;&gt;"",$A$4,"")</f>
        <v>3.1</v>
      </c>
      <c r="B52" s="109" t="n">
        <f aca="false">IF(C52&gt;0,IF(D52&gt;0,MAX($B$3:B49)+1," ")," ")</f>
        <v>3</v>
      </c>
      <c r="C52" s="70" t="s">
        <v>225</v>
      </c>
      <c r="D52" s="106" t="n">
        <v>1</v>
      </c>
      <c r="E52" s="37" t="s">
        <v>226</v>
      </c>
      <c r="F52" s="107"/>
      <c r="G52" s="107" t="n">
        <f aca="false">IF(ISBLANK(D52),"",D52*F52)</f>
        <v>0</v>
      </c>
      <c r="H52" s="103"/>
      <c r="I52" s="106" t="n">
        <v>1</v>
      </c>
      <c r="J52" s="37" t="s">
        <v>226</v>
      </c>
      <c r="K52" s="107"/>
      <c r="L52" s="107" t="n">
        <f aca="false">IF(ISBLANK(I52),"",I52*K52)</f>
        <v>0</v>
      </c>
      <c r="M52" s="103"/>
      <c r="N52" s="106" t="n">
        <v>1</v>
      </c>
      <c r="O52" s="37" t="s">
        <v>226</v>
      </c>
      <c r="P52" s="107"/>
      <c r="Q52" s="107" t="n">
        <f aca="false">IF(ISBLANK(N52),"",N52*P52)</f>
        <v>0</v>
      </c>
      <c r="R52" s="103"/>
      <c r="S52" s="106" t="n">
        <v>1</v>
      </c>
      <c r="T52" s="37" t="s">
        <v>226</v>
      </c>
      <c r="U52" s="107"/>
      <c r="V52" s="107" t="n">
        <f aca="false">IF(ISBLANK(S52),"",S52*U52)</f>
        <v>0</v>
      </c>
      <c r="W52" s="103"/>
      <c r="X52" s="106" t="n">
        <v>1</v>
      </c>
      <c r="Y52" s="37" t="s">
        <v>226</v>
      </c>
      <c r="Z52" s="107"/>
      <c r="AA52" s="107" t="n">
        <f aca="false">IF(ISBLANK(X52),"",X52*Z52)</f>
        <v>0</v>
      </c>
      <c r="AB52" s="103"/>
      <c r="AC52" s="106" t="n">
        <v>1</v>
      </c>
      <c r="AD52" s="37" t="s">
        <v>226</v>
      </c>
      <c r="AE52" s="107"/>
      <c r="AF52" s="107" t="n">
        <f aca="false">IF(ISBLANK(AC52),"",AC52*AE52)</f>
        <v>0</v>
      </c>
      <c r="AG52" s="103"/>
      <c r="AH52" s="106" t="n">
        <v>1</v>
      </c>
      <c r="AI52" s="37" t="s">
        <v>226</v>
      </c>
      <c r="AJ52" s="107"/>
      <c r="AK52" s="107" t="n">
        <f aca="false">IF(ISBLANK(AH52),"",AH52*AJ52)</f>
        <v>0</v>
      </c>
      <c r="AL52" s="103"/>
      <c r="AM52" s="106" t="n">
        <v>1</v>
      </c>
      <c r="AN52" s="37" t="s">
        <v>226</v>
      </c>
      <c r="AO52" s="107"/>
      <c r="AP52" s="107" t="n">
        <f aca="false">IF(ISBLANK(AM52),"",AM52*AO52)</f>
        <v>0</v>
      </c>
      <c r="AQ52" s="103"/>
    </row>
    <row r="53" customFormat="false" ht="11.25" hidden="false" customHeight="true" outlineLevel="0" collapsed="false">
      <c r="A53" s="93" t="str">
        <f aca="false">IF(C53&lt;&gt;"",$A$4,"")</f>
        <v/>
      </c>
      <c r="B53" s="109" t="str">
        <f aca="false">IF(C53&gt;0,IF(D53&gt;0,MAX($B$3:B30)+1," ")," ")</f>
        <v> </v>
      </c>
      <c r="C53" s="112"/>
      <c r="D53" s="111"/>
      <c r="E53" s="36"/>
      <c r="F53" s="108"/>
      <c r="G53" s="108" t="str">
        <f aca="false">IF(ISBLANK(D53),"",D53*F53)</f>
        <v/>
      </c>
      <c r="H53" s="103"/>
      <c r="I53" s="111"/>
      <c r="J53" s="36"/>
      <c r="K53" s="108"/>
      <c r="L53" s="108" t="str">
        <f aca="false">IF(ISBLANK(I53),"",I53*K53)</f>
        <v/>
      </c>
      <c r="M53" s="103"/>
      <c r="N53" s="111"/>
      <c r="O53" s="36"/>
      <c r="P53" s="108"/>
      <c r="Q53" s="108" t="str">
        <f aca="false">IF(ISBLANK(N53),"",N53*P53)</f>
        <v/>
      </c>
      <c r="R53" s="103"/>
      <c r="S53" s="111"/>
      <c r="T53" s="36"/>
      <c r="U53" s="108"/>
      <c r="V53" s="108" t="str">
        <f aca="false">IF(ISBLANK(S53),"",S53*U53)</f>
        <v/>
      </c>
      <c r="W53" s="103"/>
      <c r="X53" s="111"/>
      <c r="Y53" s="36"/>
      <c r="Z53" s="108"/>
      <c r="AA53" s="108" t="str">
        <f aca="false">IF(ISBLANK(X53),"",X53*Z53)</f>
        <v/>
      </c>
      <c r="AB53" s="103"/>
      <c r="AC53" s="111"/>
      <c r="AD53" s="36"/>
      <c r="AE53" s="108"/>
      <c r="AF53" s="108" t="str">
        <f aca="false">IF(ISBLANK(AC53),"",AC53*AE53)</f>
        <v/>
      </c>
      <c r="AG53" s="103"/>
      <c r="AH53" s="111"/>
      <c r="AI53" s="36"/>
      <c r="AJ53" s="108"/>
      <c r="AK53" s="108" t="str">
        <f aca="false">IF(ISBLANK(AH53),"",AH53*AJ53)</f>
        <v/>
      </c>
      <c r="AL53" s="103"/>
      <c r="AM53" s="111"/>
      <c r="AN53" s="36"/>
      <c r="AO53" s="108"/>
      <c r="AP53" s="108" t="str">
        <f aca="false">IF(ISBLANK(AM53),"",AM53*AO53)</f>
        <v/>
      </c>
      <c r="AQ53" s="103"/>
    </row>
    <row r="54" customFormat="false" ht="12" hidden="false" customHeight="true" outlineLevel="0" collapsed="false">
      <c r="B54" s="98"/>
      <c r="C54" s="98"/>
      <c r="D54" s="98"/>
      <c r="E54" s="98"/>
      <c r="F54" s="117" t="s">
        <v>177</v>
      </c>
      <c r="G54" s="117" t="n">
        <f aca="false">SUM(G5:G53)</f>
        <v>8500</v>
      </c>
      <c r="H54" s="103"/>
      <c r="I54" s="98"/>
      <c r="J54" s="98"/>
      <c r="K54" s="117" t="s">
        <v>177</v>
      </c>
      <c r="L54" s="117" t="n">
        <f aca="false">SUM(L5:L53)</f>
        <v>0</v>
      </c>
      <c r="M54" s="103"/>
      <c r="N54" s="98"/>
      <c r="O54" s="98"/>
      <c r="P54" s="117" t="s">
        <v>177</v>
      </c>
      <c r="Q54" s="117" t="n">
        <f aca="false">SUM(Q5:Q53)</f>
        <v>0</v>
      </c>
      <c r="R54" s="103"/>
      <c r="S54" s="98"/>
      <c r="T54" s="98"/>
      <c r="U54" s="117" t="s">
        <v>177</v>
      </c>
      <c r="V54" s="117" t="n">
        <f aca="false">SUM(V5:V53)</f>
        <v>0</v>
      </c>
      <c r="W54" s="103"/>
      <c r="X54" s="98"/>
      <c r="Y54" s="98"/>
      <c r="Z54" s="117" t="s">
        <v>177</v>
      </c>
      <c r="AA54" s="117" t="n">
        <f aca="false">SUM(AA5:AA53)</f>
        <v>0</v>
      </c>
      <c r="AB54" s="103"/>
      <c r="AC54" s="98"/>
      <c r="AD54" s="98"/>
      <c r="AE54" s="117" t="s">
        <v>177</v>
      </c>
      <c r="AF54" s="117" t="n">
        <f aca="false">SUM(AF5:AF53)</f>
        <v>0</v>
      </c>
      <c r="AG54" s="103"/>
      <c r="AH54" s="98"/>
      <c r="AI54" s="98"/>
      <c r="AJ54" s="117" t="s">
        <v>177</v>
      </c>
      <c r="AK54" s="117" t="n">
        <f aca="false">SUM(AK5:AK53)</f>
        <v>0</v>
      </c>
      <c r="AL54" s="103"/>
      <c r="AM54" s="98"/>
      <c r="AN54" s="98"/>
      <c r="AO54" s="117" t="s">
        <v>177</v>
      </c>
      <c r="AP54" s="117" t="n">
        <f aca="false">SUM(AP5:AP53)</f>
        <v>0</v>
      </c>
      <c r="AQ54" s="103"/>
    </row>
  </sheetData>
  <mergeCells count="8">
    <mergeCell ref="E3:H3"/>
    <mergeCell ref="J3:M3"/>
    <mergeCell ref="O3:R3"/>
    <mergeCell ref="T3:W3"/>
    <mergeCell ref="Y3:AB3"/>
    <mergeCell ref="AD3:AG3"/>
    <mergeCell ref="AI3:AL3"/>
    <mergeCell ref="AN3:AQ3"/>
  </mergeCells>
  <printOptions headings="false" gridLines="false" gridLinesSet="true" horizontalCentered="false" verticalCentered="false"/>
  <pageMargins left="0.236111111111111" right="0.236111111111111" top="0.595833333333333" bottom="0.748611111111111" header="0.511811023622047" footer="0.315277777777778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&amp;N&amp;R&amp;"Arial,Regular"&amp;8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7.18359375" defaultRowHeight="12.75" zeroHeight="false" outlineLevelRow="0" outlineLevelCol="0"/>
  <cols>
    <col collapsed="false" customWidth="true" hidden="false" outlineLevel="0" max="1" min="1" style="118" width="7"/>
    <col collapsed="false" customWidth="true" hidden="false" outlineLevel="0" max="2" min="2" style="119" width="46.82"/>
    <col collapsed="false" customWidth="true" hidden="false" outlineLevel="0" max="3" min="3" style="120" width="6.18"/>
    <col collapsed="false" customWidth="true" hidden="false" outlineLevel="0" max="4" min="4" style="121" width="5"/>
    <col collapsed="false" customWidth="true" hidden="false" outlineLevel="0" max="5" min="5" style="122" width="10.18"/>
    <col collapsed="false" customWidth="true" hidden="false" outlineLevel="0" max="6" min="6" style="122" width="12.54"/>
    <col collapsed="false" customWidth="true" hidden="false" outlineLevel="0" max="7" min="7" style="123" width="1.54"/>
    <col collapsed="false" customWidth="false" hidden="false" outlineLevel="0" max="16384" min="8" style="124" width="7.18"/>
  </cols>
  <sheetData>
    <row r="1" s="130" customFormat="true" ht="12.75" hidden="false" customHeight="true" outlineLevel="0" collapsed="false">
      <c r="A1" s="125"/>
      <c r="B1" s="126"/>
      <c r="C1" s="127"/>
      <c r="D1" s="128"/>
      <c r="E1" s="129"/>
      <c r="F1" s="129"/>
      <c r="G1" s="129"/>
    </row>
    <row r="2" s="130" customFormat="true" ht="12.75" hidden="false" customHeight="true" outlineLevel="0" collapsed="false">
      <c r="A2" s="131" t="s">
        <v>227</v>
      </c>
      <c r="B2" s="126"/>
      <c r="C2" s="132"/>
      <c r="D2" s="133"/>
      <c r="E2" s="129"/>
      <c r="F2" s="129"/>
      <c r="G2" s="129"/>
      <c r="H2" s="134"/>
    </row>
    <row r="3" customFormat="false" ht="12.75" hidden="false" customHeight="true" outlineLevel="0" collapsed="false">
      <c r="A3" s="135"/>
      <c r="B3" s="136"/>
      <c r="C3" s="137"/>
      <c r="D3" s="138"/>
      <c r="E3" s="139"/>
      <c r="F3" s="139"/>
      <c r="G3" s="140"/>
    </row>
    <row r="4" s="144" customFormat="true" ht="16.5" hidden="false" customHeight="true" outlineLevel="0" collapsed="false">
      <c r="A4" s="141"/>
      <c r="B4" s="141" t="s">
        <v>228</v>
      </c>
      <c r="C4" s="141"/>
      <c r="D4" s="142" t="s">
        <v>133</v>
      </c>
      <c r="E4" s="142"/>
      <c r="F4" s="142"/>
      <c r="G4" s="143"/>
    </row>
    <row r="5" s="144" customFormat="true" ht="16.5" hidden="false" customHeight="true" outlineLevel="0" collapsed="false">
      <c r="A5" s="145"/>
      <c r="B5" s="146"/>
      <c r="C5" s="142" t="s">
        <v>112</v>
      </c>
      <c r="D5" s="147" t="s">
        <v>113</v>
      </c>
      <c r="E5" s="148" t="s">
        <v>218</v>
      </c>
      <c r="F5" s="148" t="s">
        <v>177</v>
      </c>
      <c r="G5" s="143"/>
    </row>
    <row r="6" customFormat="false" ht="12.75" hidden="false" customHeight="true" outlineLevel="0" collapsed="false">
      <c r="A6" s="149" t="str">
        <f aca="false">IF(B6&gt;0,IF(C6&gt;0,MAX($A$3:A5)+1," ")," ")</f>
        <v> </v>
      </c>
      <c r="B6" s="150"/>
      <c r="C6" s="151"/>
      <c r="D6" s="152"/>
      <c r="E6" s="153"/>
      <c r="F6" s="154" t="str">
        <f aca="false">IF(ISBLANK(C6),"",C6*E6)</f>
        <v/>
      </c>
      <c r="G6" s="140"/>
    </row>
    <row r="7" customFormat="false" ht="12.75" hidden="false" customHeight="true" outlineLevel="0" collapsed="false">
      <c r="A7" s="155"/>
      <c r="B7" s="156" t="s">
        <v>133</v>
      </c>
      <c r="C7" s="157"/>
      <c r="D7" s="158"/>
      <c r="E7" s="159"/>
      <c r="F7" s="154" t="str">
        <f aca="false">IF(ISBLANK(C7),"",C7*E7)</f>
        <v/>
      </c>
      <c r="G7" s="140"/>
    </row>
    <row r="8" customFormat="false" ht="12.75" hidden="false" customHeight="true" outlineLevel="0" collapsed="false">
      <c r="A8" s="160"/>
      <c r="B8" s="161"/>
      <c r="C8" s="157"/>
      <c r="D8" s="158"/>
      <c r="E8" s="159"/>
      <c r="F8" s="154" t="str">
        <f aca="false">IF(ISBLANK(C8),"",C8*E8)</f>
        <v/>
      </c>
      <c r="G8" s="140"/>
    </row>
    <row r="9" customFormat="false" ht="12.75" hidden="false" customHeight="true" outlineLevel="0" collapsed="false">
      <c r="A9" s="162" t="n">
        <f aca="false">IF(B9&gt;0,IF(C9&gt;0,MAX($A$3:A8)+1," ")," ")</f>
        <v>1</v>
      </c>
      <c r="B9" s="163" t="s">
        <v>229</v>
      </c>
      <c r="C9" s="164" t="n">
        <v>1</v>
      </c>
      <c r="D9" s="158" t="s">
        <v>226</v>
      </c>
      <c r="E9" s="165"/>
      <c r="F9" s="154" t="n">
        <f aca="false">IF(ISBLANK(C9),"",C9*E9)</f>
        <v>0</v>
      </c>
      <c r="G9" s="140"/>
      <c r="H9" s="144"/>
    </row>
    <row r="10" customFormat="false" ht="12.75" hidden="false" customHeight="true" outlineLevel="0" collapsed="false">
      <c r="A10" s="162" t="n">
        <f aca="false">IF(B10&gt;0,IF(C10&gt;0,MAX($A$3:A9)+1," ")," ")</f>
        <v>2</v>
      </c>
      <c r="B10" s="163" t="s">
        <v>230</v>
      </c>
      <c r="C10" s="164" t="n">
        <v>1</v>
      </c>
      <c r="D10" s="158" t="s">
        <v>209</v>
      </c>
      <c r="E10" s="165"/>
      <c r="F10" s="154" t="n">
        <f aca="false">IF(ISBLANK(C10),"",C10*E10)</f>
        <v>0</v>
      </c>
      <c r="G10" s="140"/>
      <c r="H10" s="144"/>
    </row>
    <row r="11" customFormat="false" ht="12.75" hidden="false" customHeight="true" outlineLevel="0" collapsed="false">
      <c r="A11" s="166" t="str">
        <f aca="false">IF(B11&gt;0,IF(C11&gt;0,MAX($A$4:A9)+1," ")," ")</f>
        <v> </v>
      </c>
      <c r="B11" s="167"/>
      <c r="C11" s="157"/>
      <c r="D11" s="158"/>
      <c r="E11" s="159"/>
      <c r="F11" s="154" t="str">
        <f aca="false">IF(ISBLANK(C11),"",C11*E11)</f>
        <v/>
      </c>
      <c r="G11" s="140"/>
    </row>
    <row r="12" customFormat="false" ht="12" hidden="false" customHeight="true" outlineLevel="0" collapsed="false">
      <c r="A12" s="168"/>
      <c r="B12" s="168"/>
      <c r="C12" s="168"/>
      <c r="D12" s="169"/>
      <c r="E12" s="170" t="s">
        <v>177</v>
      </c>
      <c r="F12" s="171" t="n">
        <f aca="false">SUM(F6:F11)</f>
        <v>0</v>
      </c>
      <c r="G12" s="140"/>
    </row>
  </sheetData>
  <mergeCells count="1">
    <mergeCell ref="D4:F4"/>
  </mergeCells>
  <printOptions headings="false" gridLines="false" gridLinesSet="true" horizontalCentered="false" verticalCentered="false"/>
  <pageMargins left="0.708333333333333" right="0.708333333333333" top="0.747916666666667" bottom="0.157638888888889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&amp;P of &amp;N&amp;R&amp;8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33.73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0.1 Demolition &amp; alterations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0.1 Demolition &amp; alterations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112" t="s">
        <v>233</v>
      </c>
      <c r="C8" s="113" t="n">
        <v>1001</v>
      </c>
      <c r="D8" s="36" t="s">
        <v>116</v>
      </c>
      <c r="E8" s="108" t="n">
        <v>1.5</v>
      </c>
      <c r="F8" s="108" t="n">
        <f aca="false">IF(ISBLANK(C8),"",C8*E8)</f>
        <v>1501.5</v>
      </c>
      <c r="G8" s="103"/>
      <c r="H8" s="113" t="n">
        <v>1001</v>
      </c>
      <c r="I8" s="36" t="s">
        <v>116</v>
      </c>
      <c r="J8" s="108" t="n">
        <v>1</v>
      </c>
      <c r="K8" s="108" t="n">
        <f aca="false">IF(ISBLANK(H8),"",H8*J8)</f>
        <v>1001</v>
      </c>
      <c r="L8" s="103"/>
      <c r="M8" s="113" t="n">
        <v>1001</v>
      </c>
      <c r="N8" s="36" t="s">
        <v>116</v>
      </c>
      <c r="O8" s="108" t="n">
        <v>1.5</v>
      </c>
      <c r="P8" s="108" t="n">
        <f aca="false">IF(ISBLANK(M8),"",M8*O8)</f>
        <v>1501.5</v>
      </c>
      <c r="Q8" s="103"/>
      <c r="R8" s="113" t="n">
        <v>1001</v>
      </c>
      <c r="S8" s="36" t="s">
        <v>116</v>
      </c>
      <c r="T8" s="108" t="n">
        <v>1.5</v>
      </c>
      <c r="U8" s="108" t="n">
        <f aca="false">IF(ISBLANK(R8),"",R8*T8)</f>
        <v>1501.5</v>
      </c>
      <c r="V8" s="103"/>
      <c r="W8" s="113"/>
      <c r="X8" s="36" t="s">
        <v>116</v>
      </c>
      <c r="Y8" s="108"/>
      <c r="Z8" s="108" t="str">
        <f aca="false">IF(ISBLANK(W8),"",W8*Y8)</f>
        <v/>
      </c>
      <c r="AA8" s="103"/>
      <c r="AB8" s="113"/>
      <c r="AC8" s="36" t="s">
        <v>116</v>
      </c>
      <c r="AD8" s="108"/>
      <c r="AE8" s="108" t="str">
        <f aca="false">IF(ISBLANK(AB8),"",AB8*AD8)</f>
        <v/>
      </c>
      <c r="AF8" s="103"/>
      <c r="AG8" s="113"/>
      <c r="AH8" s="36" t="s">
        <v>116</v>
      </c>
      <c r="AI8" s="108"/>
      <c r="AJ8" s="108" t="str">
        <f aca="false">IF(ISBLANK(AG8),"",AG8*AI8)</f>
        <v/>
      </c>
      <c r="AK8" s="103"/>
      <c r="AL8" s="113"/>
      <c r="AM8" s="36" t="s">
        <v>116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112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112" t="s">
        <v>234</v>
      </c>
      <c r="C10" s="113" t="n">
        <v>1001</v>
      </c>
      <c r="D10" s="36" t="s">
        <v>116</v>
      </c>
      <c r="E10" s="108" t="n">
        <v>25</v>
      </c>
      <c r="F10" s="108" t="n">
        <f aca="false">IF(ISBLANK(C10),"",C10*E10)</f>
        <v>25025</v>
      </c>
      <c r="G10" s="103"/>
      <c r="H10" s="113" t="n">
        <v>1001</v>
      </c>
      <c r="I10" s="36" t="s">
        <v>116</v>
      </c>
      <c r="J10" s="108" t="n">
        <v>20</v>
      </c>
      <c r="K10" s="108" t="n">
        <f aca="false">IF(ISBLANK(H10),"",H10*J10)</f>
        <v>20020</v>
      </c>
      <c r="L10" s="103"/>
      <c r="M10" s="113" t="n">
        <v>1001</v>
      </c>
      <c r="N10" s="36" t="s">
        <v>116</v>
      </c>
      <c r="O10" s="108" t="n">
        <v>35</v>
      </c>
      <c r="P10" s="108" t="n">
        <f aca="false">IF(ISBLANK(M10),"",M10*O10)</f>
        <v>35035</v>
      </c>
      <c r="Q10" s="103"/>
      <c r="R10" s="113" t="n">
        <v>1001</v>
      </c>
      <c r="S10" s="36" t="s">
        <v>116</v>
      </c>
      <c r="T10" s="108" t="n">
        <v>50</v>
      </c>
      <c r="U10" s="108" t="n">
        <f aca="false">IF(ISBLANK(R10),"",R10*T10)</f>
        <v>50050</v>
      </c>
      <c r="V10" s="103"/>
      <c r="W10" s="113"/>
      <c r="X10" s="36" t="s">
        <v>116</v>
      </c>
      <c r="Y10" s="108"/>
      <c r="Z10" s="108" t="str">
        <f aca="false">IF(ISBLANK(W10),"",W10*Y10)</f>
        <v/>
      </c>
      <c r="AA10" s="103"/>
      <c r="AB10" s="113"/>
      <c r="AC10" s="36" t="s">
        <v>116</v>
      </c>
      <c r="AD10" s="108"/>
      <c r="AE10" s="108" t="str">
        <f aca="false">IF(ISBLANK(AB10),"",AB10*AD10)</f>
        <v/>
      </c>
      <c r="AF10" s="103"/>
      <c r="AG10" s="113"/>
      <c r="AH10" s="36" t="s">
        <v>116</v>
      </c>
      <c r="AI10" s="108"/>
      <c r="AJ10" s="108" t="str">
        <f aca="false">IF(ISBLANK(AG10),"",AG10*AI10)</f>
        <v/>
      </c>
      <c r="AK10" s="103"/>
      <c r="AL10" s="113"/>
      <c r="AM10" s="36" t="s">
        <v>116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112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112" t="s">
        <v>235</v>
      </c>
      <c r="C12" s="113" t="n">
        <v>1001</v>
      </c>
      <c r="D12" s="36" t="s">
        <v>116</v>
      </c>
      <c r="E12" s="108" t="n">
        <v>100</v>
      </c>
      <c r="F12" s="108" t="n">
        <f aca="false">IF(ISBLANK(C12),"",C12*E12)</f>
        <v>100100</v>
      </c>
      <c r="G12" s="103"/>
      <c r="H12" s="113" t="n">
        <v>1001</v>
      </c>
      <c r="I12" s="36" t="s">
        <v>116</v>
      </c>
      <c r="J12" s="108" t="n">
        <v>100</v>
      </c>
      <c r="K12" s="108" t="n">
        <f aca="false">IF(ISBLANK(H12),"",H12*J12)</f>
        <v>100100</v>
      </c>
      <c r="L12" s="103"/>
      <c r="M12" s="113" t="n">
        <v>1001</v>
      </c>
      <c r="N12" s="36" t="s">
        <v>116</v>
      </c>
      <c r="O12" s="108" t="n">
        <v>75</v>
      </c>
      <c r="P12" s="108" t="n">
        <f aca="false">IF(ISBLANK(M12),"",M12*O12)</f>
        <v>75075</v>
      </c>
      <c r="Q12" s="103"/>
      <c r="R12" s="113" t="n">
        <v>1001</v>
      </c>
      <c r="S12" s="36" t="s">
        <v>116</v>
      </c>
      <c r="T12" s="108" t="n">
        <v>75</v>
      </c>
      <c r="U12" s="108" t="n">
        <f aca="false">IF(ISBLANK(R12),"",R12*T12)</f>
        <v>75075</v>
      </c>
      <c r="V12" s="103"/>
      <c r="W12" s="113"/>
      <c r="X12" s="36" t="s">
        <v>116</v>
      </c>
      <c r="Y12" s="108"/>
      <c r="Z12" s="108" t="str">
        <f aca="false">IF(ISBLANK(W12),"",W12*Y12)</f>
        <v/>
      </c>
      <c r="AA12" s="103"/>
      <c r="AB12" s="113"/>
      <c r="AC12" s="36" t="s">
        <v>116</v>
      </c>
      <c r="AD12" s="108"/>
      <c r="AE12" s="108" t="str">
        <f aca="false">IF(ISBLANK(AB12),"",AB12*AD12)</f>
        <v/>
      </c>
      <c r="AF12" s="103"/>
      <c r="AG12" s="113"/>
      <c r="AH12" s="36" t="s">
        <v>116</v>
      </c>
      <c r="AI12" s="108"/>
      <c r="AJ12" s="108" t="str">
        <f aca="false">IF(ISBLANK(AG12),"",AG12*AI12)</f>
        <v/>
      </c>
      <c r="AK12" s="103"/>
      <c r="AL12" s="113"/>
      <c r="AM12" s="36" t="s">
        <v>116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112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112" t="s">
        <v>236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45</v>
      </c>
      <c r="K14" s="108" t="n">
        <f aca="false">IF(ISBLANK(H14),"",H14*J14)</f>
        <v>450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112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/>
      <c r="Y15" s="108"/>
      <c r="Z15" s="108"/>
      <c r="AA15" s="103"/>
      <c r="AB15" s="113"/>
      <c r="AC15" s="36"/>
      <c r="AD15" s="108"/>
      <c r="AE15" s="108"/>
      <c r="AF15" s="103"/>
      <c r="AG15" s="113"/>
      <c r="AH15" s="36"/>
      <c r="AI15" s="108"/>
      <c r="AJ15" s="108"/>
      <c r="AK15" s="103"/>
      <c r="AL15" s="113"/>
      <c r="AM15" s="36"/>
      <c r="AN15" s="108"/>
      <c r="AO15" s="108"/>
      <c r="AP15" s="103"/>
    </row>
    <row r="16" customFormat="false" ht="12.75" hidden="false" customHeight="true" outlineLevel="0" collapsed="false">
      <c r="A16" s="174" t="n">
        <f aca="false">IF(B16&gt;0,IF(C16&gt;0,MAX($A$5:A15)+1," ")," ")</f>
        <v>5</v>
      </c>
      <c r="B16" s="112" t="s">
        <v>237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75</v>
      </c>
      <c r="K16" s="108" t="n">
        <f aca="false">IF(ISBLANK(H16),"",H16*J16)</f>
        <v>750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2.75" hidden="false" customHeight="true" outlineLevel="0" collapsed="false">
      <c r="A17" s="174" t="str">
        <f aca="false">IF(B17&gt;0,IF(C17&gt;0,MAX($A$5:A16)+1," ")," ")</f>
        <v> </v>
      </c>
      <c r="B17" s="175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2.75" hidden="false" customHeight="true" outlineLevel="0" collapsed="false">
      <c r="A18" s="174" t="n">
        <f aca="false">IF(B18&gt;0,IF(C18&gt;0,MAX($A$5:A17)+1," ")," ")</f>
        <v>6</v>
      </c>
      <c r="B18" s="112" t="s">
        <v>238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75</v>
      </c>
      <c r="K18" s="108" t="n">
        <f aca="false">IF(ISBLANK(H18),"",H18*J18)</f>
        <v>750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112"/>
      <c r="C19" s="113"/>
      <c r="D19" s="36"/>
      <c r="E19" s="108"/>
      <c r="F19" s="108" t="str">
        <f aca="false">IF(ISBLANK(C19),"",C19*E19)</f>
        <v/>
      </c>
      <c r="G19" s="103"/>
      <c r="H19" s="113"/>
      <c r="I19" s="36"/>
      <c r="J19" s="108"/>
      <c r="K19" s="108" t="str">
        <f aca="false">IF(ISBLANK(H19),"",H19*J19)</f>
        <v/>
      </c>
      <c r="L19" s="103"/>
      <c r="M19" s="113"/>
      <c r="N19" s="36"/>
      <c r="O19" s="108"/>
      <c r="P19" s="108" t="str">
        <f aca="false">IF(ISBLANK(M19),"",M19*O19)</f>
        <v/>
      </c>
      <c r="Q19" s="103"/>
      <c r="R19" s="113"/>
      <c r="S19" s="36"/>
      <c r="T19" s="108"/>
      <c r="U19" s="108" t="str">
        <f aca="false">IF(ISBLANK(R19),"",R19*T19)</f>
        <v/>
      </c>
      <c r="V19" s="103"/>
      <c r="W19" s="113"/>
      <c r="X19" s="36"/>
      <c r="Y19" s="108"/>
      <c r="Z19" s="108" t="str">
        <f aca="false">IF(ISBLANK(W19),"",W19*Y19)</f>
        <v/>
      </c>
      <c r="AA19" s="103"/>
      <c r="AB19" s="113"/>
      <c r="AC19" s="36"/>
      <c r="AD19" s="108"/>
      <c r="AE19" s="108" t="str">
        <f aca="false">IF(ISBLANK(AB19),"",AB19*AD19)</f>
        <v/>
      </c>
      <c r="AF19" s="103"/>
      <c r="AG19" s="113"/>
      <c r="AH19" s="36"/>
      <c r="AI19" s="108"/>
      <c r="AJ19" s="108" t="str">
        <f aca="false">IF(ISBLANK(AG19),"",AG19*AI19)</f>
        <v/>
      </c>
      <c r="AK19" s="103"/>
      <c r="AL19" s="113"/>
      <c r="AM19" s="36"/>
      <c r="AN19" s="108"/>
      <c r="AO19" s="108" t="str">
        <f aca="false">IF(ISBLANK(AL19),"",AL19*AN19)</f>
        <v/>
      </c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112" t="s">
        <v>239</v>
      </c>
      <c r="C20" s="113" t="n">
        <v>1</v>
      </c>
      <c r="D20" s="36" t="s">
        <v>209</v>
      </c>
      <c r="E20" s="108" t="n">
        <v>2500</v>
      </c>
      <c r="F20" s="108" t="n">
        <f aca="false">IF(ISBLANK(C20),"",C20*E20)</f>
        <v>2500</v>
      </c>
      <c r="G20" s="103"/>
      <c r="H20" s="113" t="n">
        <v>1</v>
      </c>
      <c r="I20" s="36" t="s">
        <v>209</v>
      </c>
      <c r="J20" s="108" t="n">
        <v>5000</v>
      </c>
      <c r="K20" s="108" t="n">
        <f aca="false">IF(ISBLANK(H20),"",H20*J20)</f>
        <v>5000</v>
      </c>
      <c r="L20" s="103"/>
      <c r="M20" s="113" t="n">
        <v>1</v>
      </c>
      <c r="N20" s="36" t="s">
        <v>209</v>
      </c>
      <c r="O20" s="108" t="n">
        <v>5000</v>
      </c>
      <c r="P20" s="108" t="n">
        <f aca="false">IF(ISBLANK(M20),"",M20*O20)</f>
        <v>5000</v>
      </c>
      <c r="Q20" s="103"/>
      <c r="R20" s="113" t="n">
        <v>1</v>
      </c>
      <c r="S20" s="36" t="s">
        <v>209</v>
      </c>
      <c r="T20" s="108" t="n">
        <v>2500</v>
      </c>
      <c r="U20" s="108" t="n">
        <f aca="false">IF(ISBLANK(R20),"",R20*T20)</f>
        <v>2500</v>
      </c>
      <c r="V20" s="103"/>
      <c r="W20" s="113"/>
      <c r="X20" s="36" t="s">
        <v>209</v>
      </c>
      <c r="Y20" s="108"/>
      <c r="Z20" s="108" t="str">
        <f aca="false">IF(ISBLANK(W20),"",W20*Y20)</f>
        <v/>
      </c>
      <c r="AA20" s="103"/>
      <c r="AB20" s="113"/>
      <c r="AC20" s="36" t="s">
        <v>209</v>
      </c>
      <c r="AD20" s="108"/>
      <c r="AE20" s="108" t="str">
        <f aca="false">IF(ISBLANK(AB20),"",AB20*AD20)</f>
        <v/>
      </c>
      <c r="AF20" s="103"/>
      <c r="AG20" s="113"/>
      <c r="AH20" s="36" t="s">
        <v>209</v>
      </c>
      <c r="AI20" s="108"/>
      <c r="AJ20" s="108" t="str">
        <f aca="false">IF(ISBLANK(AG20),"",AG20*AI20)</f>
        <v/>
      </c>
      <c r="AK20" s="103"/>
      <c r="AL20" s="113"/>
      <c r="AM20" s="36" t="s">
        <v>209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112"/>
      <c r="C21" s="113"/>
      <c r="D21" s="36"/>
      <c r="E21" s="108"/>
      <c r="F21" s="108" t="str">
        <f aca="false">IF(ISBLANK(C21),"",C21*E21)</f>
        <v/>
      </c>
      <c r="G21" s="103"/>
      <c r="H21" s="113"/>
      <c r="I21" s="36"/>
      <c r="J21" s="108"/>
      <c r="K21" s="108" t="str">
        <f aca="false">IF(ISBLANK(H21),"",H21*J21)</f>
        <v/>
      </c>
      <c r="L21" s="103"/>
      <c r="M21" s="113"/>
      <c r="N21" s="36"/>
      <c r="O21" s="108"/>
      <c r="P21" s="108" t="str">
        <f aca="false">IF(ISBLANK(M21),"",M21*O21)</f>
        <v/>
      </c>
      <c r="Q21" s="103"/>
      <c r="R21" s="113"/>
      <c r="S21" s="36"/>
      <c r="T21" s="108"/>
      <c r="U21" s="108" t="str">
        <f aca="false">IF(ISBLANK(R21),"",R21*T21)</f>
        <v/>
      </c>
      <c r="V21" s="103"/>
      <c r="W21" s="113"/>
      <c r="X21" s="36"/>
      <c r="Y21" s="108"/>
      <c r="Z21" s="108" t="str">
        <f aca="false">IF(ISBLANK(W21),"",W21*Y21)</f>
        <v/>
      </c>
      <c r="AA21" s="103"/>
      <c r="AB21" s="113"/>
      <c r="AC21" s="36"/>
      <c r="AD21" s="108"/>
      <c r="AE21" s="108" t="str">
        <f aca="false">IF(ISBLANK(AB21),"",AB21*AD21)</f>
        <v/>
      </c>
      <c r="AF21" s="103"/>
      <c r="AG21" s="113"/>
      <c r="AH21" s="36"/>
      <c r="AI21" s="108"/>
      <c r="AJ21" s="108" t="str">
        <f aca="false">IF(ISBLANK(AG21),"",AG21*AI21)</f>
        <v/>
      </c>
      <c r="AK21" s="103"/>
      <c r="AL21" s="113"/>
      <c r="AM21" s="36"/>
      <c r="AN21" s="108"/>
      <c r="AO21" s="108" t="str">
        <f aca="false">IF(ISBLANK(AL21),"",AL21*AN21)</f>
        <v/>
      </c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112" t="s">
        <v>240</v>
      </c>
      <c r="C22" s="113" t="n">
        <v>1</v>
      </c>
      <c r="D22" s="36" t="s">
        <v>241</v>
      </c>
      <c r="E22" s="108" t="n">
        <v>500</v>
      </c>
      <c r="F22" s="108" t="n">
        <f aca="false">IF(ISBLANK(C22),"",C22*E22)</f>
        <v>500</v>
      </c>
      <c r="G22" s="103"/>
      <c r="H22" s="113" t="n">
        <v>1</v>
      </c>
      <c r="I22" s="36" t="s">
        <v>241</v>
      </c>
      <c r="J22" s="108" t="n">
        <v>500</v>
      </c>
      <c r="K22" s="108" t="n">
        <f aca="false">IF(ISBLANK(H22),"",H22*J22)</f>
        <v>500</v>
      </c>
      <c r="L22" s="103"/>
      <c r="M22" s="113" t="n">
        <v>1</v>
      </c>
      <c r="N22" s="36" t="s">
        <v>241</v>
      </c>
      <c r="O22" s="108" t="n">
        <v>500</v>
      </c>
      <c r="P22" s="108" t="n">
        <f aca="false">IF(ISBLANK(M22),"",M22*O22)</f>
        <v>500</v>
      </c>
      <c r="Q22" s="103"/>
      <c r="R22" s="113" t="n">
        <v>1</v>
      </c>
      <c r="S22" s="36" t="s">
        <v>241</v>
      </c>
      <c r="T22" s="108" t="n">
        <v>500</v>
      </c>
      <c r="U22" s="108" t="n">
        <f aca="false">IF(ISBLANK(R22),"",R22*T22)</f>
        <v>500</v>
      </c>
      <c r="V22" s="103"/>
      <c r="W22" s="113"/>
      <c r="X22" s="36" t="s">
        <v>241</v>
      </c>
      <c r="Y22" s="108"/>
      <c r="Z22" s="108" t="str">
        <f aca="false">IF(ISBLANK(W22),"",W22*Y22)</f>
        <v/>
      </c>
      <c r="AA22" s="103"/>
      <c r="AB22" s="113"/>
      <c r="AC22" s="36" t="s">
        <v>241</v>
      </c>
      <c r="AD22" s="108"/>
      <c r="AE22" s="108" t="str">
        <f aca="false">IF(ISBLANK(AB22),"",AB22*AD22)</f>
        <v/>
      </c>
      <c r="AF22" s="103"/>
      <c r="AG22" s="113"/>
      <c r="AH22" s="36" t="s">
        <v>241</v>
      </c>
      <c r="AI22" s="108"/>
      <c r="AJ22" s="108" t="str">
        <f aca="false">IF(ISBLANK(AG22),"",AG22*AI22)</f>
        <v/>
      </c>
      <c r="AK22" s="103"/>
      <c r="AL22" s="113"/>
      <c r="AM22" s="36" t="s">
        <v>241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112"/>
      <c r="C23" s="113"/>
      <c r="D23" s="36"/>
      <c r="E23" s="108"/>
      <c r="F23" s="108" t="str">
        <f aca="false">IF(ISBLANK(C23),"",C23*E23)</f>
        <v/>
      </c>
      <c r="G23" s="103"/>
      <c r="H23" s="113"/>
      <c r="I23" s="36"/>
      <c r="J23" s="108"/>
      <c r="K23" s="108" t="str">
        <f aca="false">IF(ISBLANK(H23),"",H23*J23)</f>
        <v/>
      </c>
      <c r="L23" s="103"/>
      <c r="M23" s="113"/>
      <c r="N23" s="36"/>
      <c r="O23" s="108"/>
      <c r="P23" s="108" t="str">
        <f aca="false">IF(ISBLANK(M23),"",M23*O23)</f>
        <v/>
      </c>
      <c r="Q23" s="103"/>
      <c r="R23" s="113"/>
      <c r="S23" s="36"/>
      <c r="T23" s="108"/>
      <c r="U23" s="108" t="str">
        <f aca="false">IF(ISBLANK(R23),"",R23*T23)</f>
        <v/>
      </c>
      <c r="V23" s="103"/>
      <c r="W23" s="113"/>
      <c r="X23" s="36"/>
      <c r="Y23" s="108"/>
      <c r="Z23" s="108" t="str">
        <f aca="false">IF(ISBLANK(W23),"",W23*Y23)</f>
        <v/>
      </c>
      <c r="AA23" s="103"/>
      <c r="AB23" s="113"/>
      <c r="AC23" s="36"/>
      <c r="AD23" s="108"/>
      <c r="AE23" s="108" t="str">
        <f aca="false">IF(ISBLANK(AB23),"",AB23*AD23)</f>
        <v/>
      </c>
      <c r="AF23" s="103"/>
      <c r="AG23" s="113"/>
      <c r="AH23" s="36"/>
      <c r="AI23" s="108"/>
      <c r="AJ23" s="108" t="str">
        <f aca="false">IF(ISBLANK(AG23),"",AG23*AI23)</f>
        <v/>
      </c>
      <c r="AK23" s="103"/>
      <c r="AL23" s="113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112" t="s">
        <v>242</v>
      </c>
      <c r="C24" s="113" t="n">
        <v>1</v>
      </c>
      <c r="D24" s="36" t="s">
        <v>241</v>
      </c>
      <c r="E24" s="108" t="n">
        <v>150</v>
      </c>
      <c r="F24" s="108" t="n">
        <f aca="false">IF(ISBLANK(C24),"",C24*E24)</f>
        <v>150</v>
      </c>
      <c r="G24" s="103"/>
      <c r="H24" s="113" t="n">
        <v>1</v>
      </c>
      <c r="I24" s="36" t="s">
        <v>241</v>
      </c>
      <c r="J24" s="108" t="n">
        <v>150</v>
      </c>
      <c r="K24" s="108" t="n">
        <f aca="false">IF(ISBLANK(H24),"",H24*J24)</f>
        <v>150</v>
      </c>
      <c r="L24" s="103"/>
      <c r="M24" s="113" t="n">
        <v>1</v>
      </c>
      <c r="N24" s="36" t="s">
        <v>241</v>
      </c>
      <c r="O24" s="108" t="n">
        <v>150</v>
      </c>
      <c r="P24" s="108" t="n">
        <f aca="false">IF(ISBLANK(M24),"",M24*O24)</f>
        <v>150</v>
      </c>
      <c r="Q24" s="103"/>
      <c r="R24" s="113" t="n">
        <v>1</v>
      </c>
      <c r="S24" s="36" t="s">
        <v>241</v>
      </c>
      <c r="T24" s="108" t="n">
        <v>150</v>
      </c>
      <c r="U24" s="108" t="n">
        <f aca="false">IF(ISBLANK(R24),"",R24*T24)</f>
        <v>150</v>
      </c>
      <c r="V24" s="103"/>
      <c r="W24" s="113"/>
      <c r="X24" s="36" t="s">
        <v>241</v>
      </c>
      <c r="Y24" s="108"/>
      <c r="Z24" s="108" t="str">
        <f aca="false">IF(ISBLANK(W24),"",W24*Y24)</f>
        <v/>
      </c>
      <c r="AA24" s="103"/>
      <c r="AB24" s="113"/>
      <c r="AC24" s="36" t="s">
        <v>241</v>
      </c>
      <c r="AD24" s="108"/>
      <c r="AE24" s="108" t="str">
        <f aca="false">IF(ISBLANK(AB24),"",AB24*AD24)</f>
        <v/>
      </c>
      <c r="AF24" s="103"/>
      <c r="AG24" s="113"/>
      <c r="AH24" s="36" t="s">
        <v>241</v>
      </c>
      <c r="AI24" s="108"/>
      <c r="AJ24" s="108" t="str">
        <f aca="false">IF(ISBLANK(AG24),"",AG24*AI24)</f>
        <v/>
      </c>
      <c r="AK24" s="103"/>
      <c r="AL24" s="113"/>
      <c r="AM24" s="36" t="s">
        <v>241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112"/>
      <c r="C25" s="113"/>
      <c r="D25" s="36"/>
      <c r="E25" s="108"/>
      <c r="F25" s="108" t="str">
        <f aca="false">IF(ISBLANK(C25),"",C25*E25)</f>
        <v/>
      </c>
      <c r="G25" s="103"/>
      <c r="H25" s="113"/>
      <c r="I25" s="36"/>
      <c r="J25" s="108"/>
      <c r="K25" s="108" t="str">
        <f aca="false">IF(ISBLANK(H25),"",H25*J25)</f>
        <v/>
      </c>
      <c r="L25" s="103"/>
      <c r="M25" s="113"/>
      <c r="N25" s="36"/>
      <c r="O25" s="108"/>
      <c r="P25" s="108" t="str">
        <f aca="false">IF(ISBLANK(M25),"",M25*O25)</f>
        <v/>
      </c>
      <c r="Q25" s="103"/>
      <c r="R25" s="113"/>
      <c r="S25" s="36"/>
      <c r="T25" s="108"/>
      <c r="U25" s="108" t="str">
        <f aca="false">IF(ISBLANK(R25),"",R25*T25)</f>
        <v/>
      </c>
      <c r="V25" s="103"/>
      <c r="W25" s="113"/>
      <c r="X25" s="36"/>
      <c r="Y25" s="108"/>
      <c r="Z25" s="108" t="str">
        <f aca="false">IF(ISBLANK(W25),"",W25*Y25)</f>
        <v/>
      </c>
      <c r="AA25" s="103"/>
      <c r="AB25" s="113"/>
      <c r="AC25" s="36"/>
      <c r="AD25" s="108"/>
      <c r="AE25" s="108" t="str">
        <f aca="false">IF(ISBLANK(AB25),"",AB25*AD25)</f>
        <v/>
      </c>
      <c r="AF25" s="103"/>
      <c r="AG25" s="113"/>
      <c r="AH25" s="36"/>
      <c r="AI25" s="108"/>
      <c r="AJ25" s="108" t="str">
        <f aca="false">IF(ISBLANK(AG25),"",AG25*AI25)</f>
        <v/>
      </c>
      <c r="AK25" s="103"/>
      <c r="AL25" s="113"/>
      <c r="AM25" s="36"/>
      <c r="AN25" s="108"/>
      <c r="AO25" s="108" t="str">
        <f aca="false">IF(ISBLANK(AL25),"",AL25*AN25)</f>
        <v/>
      </c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112" t="s">
        <v>243</v>
      </c>
      <c r="C26" s="113" t="n">
        <v>1</v>
      </c>
      <c r="D26" s="36" t="s">
        <v>241</v>
      </c>
      <c r="E26" s="108" t="n">
        <v>500</v>
      </c>
      <c r="F26" s="108" t="n">
        <f aca="false">IF(ISBLANK(C26),"",C26*E26)</f>
        <v>500</v>
      </c>
      <c r="G26" s="103"/>
      <c r="H26" s="113" t="n">
        <v>1</v>
      </c>
      <c r="I26" s="36" t="s">
        <v>241</v>
      </c>
      <c r="J26" s="108" t="n">
        <v>500</v>
      </c>
      <c r="K26" s="108" t="n">
        <f aca="false">IF(ISBLANK(H26),"",H26*J26)</f>
        <v>500</v>
      </c>
      <c r="L26" s="103"/>
      <c r="M26" s="113" t="n">
        <v>1</v>
      </c>
      <c r="N26" s="36" t="s">
        <v>241</v>
      </c>
      <c r="O26" s="108" t="n">
        <v>500</v>
      </c>
      <c r="P26" s="108" t="n">
        <f aca="false">IF(ISBLANK(M26),"",M26*O26)</f>
        <v>500</v>
      </c>
      <c r="Q26" s="103"/>
      <c r="R26" s="113" t="n">
        <v>1</v>
      </c>
      <c r="S26" s="36" t="s">
        <v>241</v>
      </c>
      <c r="T26" s="108" t="n">
        <v>500</v>
      </c>
      <c r="U26" s="108" t="n">
        <f aca="false">IF(ISBLANK(R26),"",R26*T26)</f>
        <v>500</v>
      </c>
      <c r="V26" s="103"/>
      <c r="W26" s="113"/>
      <c r="X26" s="36" t="s">
        <v>241</v>
      </c>
      <c r="Y26" s="108"/>
      <c r="Z26" s="108" t="str">
        <f aca="false">IF(ISBLANK(W26),"",W26*Y26)</f>
        <v/>
      </c>
      <c r="AA26" s="103"/>
      <c r="AB26" s="113"/>
      <c r="AC26" s="36" t="s">
        <v>241</v>
      </c>
      <c r="AD26" s="108"/>
      <c r="AE26" s="108" t="str">
        <f aca="false">IF(ISBLANK(AB26),"",AB26*AD26)</f>
        <v/>
      </c>
      <c r="AF26" s="103"/>
      <c r="AG26" s="113"/>
      <c r="AH26" s="36" t="s">
        <v>241</v>
      </c>
      <c r="AI26" s="108"/>
      <c r="AJ26" s="108" t="str">
        <f aca="false">IF(ISBLANK(AG26),"",AG26*AI26)</f>
        <v/>
      </c>
      <c r="AK26" s="103"/>
      <c r="AL26" s="113"/>
      <c r="AM26" s="36" t="s">
        <v>241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112"/>
      <c r="C27" s="113"/>
      <c r="D27" s="36"/>
      <c r="E27" s="108"/>
      <c r="F27" s="108" t="str">
        <f aca="false">IF(ISBLANK(C27),"",C27*E27)</f>
        <v/>
      </c>
      <c r="G27" s="103"/>
      <c r="H27" s="113"/>
      <c r="I27" s="36"/>
      <c r="J27" s="108"/>
      <c r="K27" s="108" t="str">
        <f aca="false">IF(ISBLANK(H27),"",H27*J27)</f>
        <v/>
      </c>
      <c r="L27" s="103"/>
      <c r="M27" s="113"/>
      <c r="N27" s="36"/>
      <c r="O27" s="108"/>
      <c r="P27" s="108" t="str">
        <f aca="false">IF(ISBLANK(M27),"",M27*O27)</f>
        <v/>
      </c>
      <c r="Q27" s="103"/>
      <c r="R27" s="113"/>
      <c r="S27" s="36"/>
      <c r="T27" s="108"/>
      <c r="U27" s="108" t="str">
        <f aca="false">IF(ISBLANK(R27),"",R27*T27)</f>
        <v/>
      </c>
      <c r="V27" s="103"/>
      <c r="W27" s="113"/>
      <c r="X27" s="36"/>
      <c r="Y27" s="108"/>
      <c r="Z27" s="108" t="str">
        <f aca="false">IF(ISBLANK(W27),"",W27*Y27)</f>
        <v/>
      </c>
      <c r="AA27" s="103"/>
      <c r="AB27" s="113"/>
      <c r="AC27" s="36"/>
      <c r="AD27" s="108"/>
      <c r="AE27" s="108" t="str">
        <f aca="false">IF(ISBLANK(AB27),"",AB27*AD27)</f>
        <v/>
      </c>
      <c r="AF27" s="103"/>
      <c r="AG27" s="113"/>
      <c r="AH27" s="36"/>
      <c r="AI27" s="108"/>
      <c r="AJ27" s="108" t="str">
        <f aca="false">IF(ISBLANK(AG27),"",AG27*AI27)</f>
        <v/>
      </c>
      <c r="AK27" s="103"/>
      <c r="AL27" s="113"/>
      <c r="AM27" s="36"/>
      <c r="AN27" s="108"/>
      <c r="AO27" s="108" t="str">
        <f aca="false">IF(ISBLANK(AL27),"",AL27*AN27)</f>
        <v/>
      </c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112" t="s">
        <v>244</v>
      </c>
      <c r="C28" s="113" t="n">
        <v>25</v>
      </c>
      <c r="D28" s="36" t="s">
        <v>118</v>
      </c>
      <c r="E28" s="108" t="n">
        <v>75</v>
      </c>
      <c r="F28" s="108" t="n">
        <f aca="false">IF(ISBLANK(C28),"",C28*E28)</f>
        <v>1875</v>
      </c>
      <c r="G28" s="103"/>
      <c r="H28" s="113" t="n">
        <v>25</v>
      </c>
      <c r="I28" s="36" t="s">
        <v>118</v>
      </c>
      <c r="J28" s="108" t="n">
        <v>75</v>
      </c>
      <c r="K28" s="108" t="n">
        <f aca="false">IF(ISBLANK(H28),"",H28*J28)</f>
        <v>1875</v>
      </c>
      <c r="L28" s="103"/>
      <c r="M28" s="113" t="n">
        <v>25</v>
      </c>
      <c r="N28" s="36" t="s">
        <v>118</v>
      </c>
      <c r="O28" s="108" t="n">
        <v>75</v>
      </c>
      <c r="P28" s="108" t="n">
        <f aca="false">IF(ISBLANK(M28),"",M28*O28)</f>
        <v>1875</v>
      </c>
      <c r="Q28" s="103"/>
      <c r="R28" s="113" t="n">
        <v>25</v>
      </c>
      <c r="S28" s="36" t="s">
        <v>118</v>
      </c>
      <c r="T28" s="108" t="n">
        <v>75</v>
      </c>
      <c r="U28" s="108" t="n">
        <f aca="false">IF(ISBLANK(R28),"",R28*T28)</f>
        <v>1875</v>
      </c>
      <c r="V28" s="103"/>
      <c r="W28" s="113"/>
      <c r="X28" s="36" t="s">
        <v>118</v>
      </c>
      <c r="Y28" s="108"/>
      <c r="Z28" s="108" t="str">
        <f aca="false">IF(ISBLANK(W28),"",W28*Y28)</f>
        <v/>
      </c>
      <c r="AA28" s="103"/>
      <c r="AB28" s="113"/>
      <c r="AC28" s="36" t="s">
        <v>118</v>
      </c>
      <c r="AD28" s="108"/>
      <c r="AE28" s="108" t="str">
        <f aca="false">IF(ISBLANK(AB28),"",AB28*AD28)</f>
        <v/>
      </c>
      <c r="AF28" s="103"/>
      <c r="AG28" s="113"/>
      <c r="AH28" s="36" t="s">
        <v>118</v>
      </c>
      <c r="AI28" s="108"/>
      <c r="AJ28" s="108" t="str">
        <f aca="false">IF(ISBLANK(AG28),"",AG28*AI28)</f>
        <v/>
      </c>
      <c r="AK28" s="103"/>
      <c r="AL28" s="113"/>
      <c r="AM28" s="36" t="s">
        <v>118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112"/>
      <c r="C29" s="113"/>
      <c r="D29" s="36"/>
      <c r="E29" s="108"/>
      <c r="F29" s="108" t="str">
        <f aca="false">IF(ISBLANK(C29),"",C29*E29)</f>
        <v/>
      </c>
      <c r="G29" s="103"/>
      <c r="H29" s="113"/>
      <c r="I29" s="36"/>
      <c r="J29" s="108"/>
      <c r="K29" s="108" t="str">
        <f aca="false">IF(ISBLANK(H29),"",H29*J29)</f>
        <v/>
      </c>
      <c r="L29" s="103"/>
      <c r="M29" s="113"/>
      <c r="N29" s="36"/>
      <c r="O29" s="108"/>
      <c r="P29" s="108" t="str">
        <f aca="false">IF(ISBLANK(M29),"",M29*O29)</f>
        <v/>
      </c>
      <c r="Q29" s="103"/>
      <c r="R29" s="113"/>
      <c r="S29" s="36"/>
      <c r="T29" s="108"/>
      <c r="U29" s="108" t="str">
        <f aca="false">IF(ISBLANK(R29),"",R29*T29)</f>
        <v/>
      </c>
      <c r="V29" s="103"/>
      <c r="W29" s="113"/>
      <c r="X29" s="36"/>
      <c r="Y29" s="108"/>
      <c r="Z29" s="108" t="str">
        <f aca="false">IF(ISBLANK(W29),"",W29*Y29)</f>
        <v/>
      </c>
      <c r="AA29" s="103"/>
      <c r="AB29" s="113"/>
      <c r="AC29" s="36"/>
      <c r="AD29" s="108"/>
      <c r="AE29" s="108" t="str">
        <f aca="false">IF(ISBLANK(AB29),"",AB29*AD29)</f>
        <v/>
      </c>
      <c r="AF29" s="103"/>
      <c r="AG29" s="113"/>
      <c r="AH29" s="36"/>
      <c r="AI29" s="108"/>
      <c r="AJ29" s="108" t="str">
        <f aca="false">IF(ISBLANK(AG29),"",AG29*AI29)</f>
        <v/>
      </c>
      <c r="AK29" s="103"/>
      <c r="AL29" s="113"/>
      <c r="AM29" s="36"/>
      <c r="AN29" s="108"/>
      <c r="AO29" s="108" t="str">
        <f aca="false">IF(ISBLANK(AL29),"",AL29*AN29)</f>
        <v/>
      </c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112" t="s">
        <v>245</v>
      </c>
      <c r="C30" s="113" t="n">
        <v>1</v>
      </c>
      <c r="D30" s="36" t="s">
        <v>241</v>
      </c>
      <c r="E30" s="108" t="n">
        <v>500</v>
      </c>
      <c r="F30" s="108" t="n">
        <f aca="false">IF(ISBLANK(C30),"",C30*E30)</f>
        <v>500</v>
      </c>
      <c r="G30" s="103"/>
      <c r="H30" s="113" t="n">
        <v>1</v>
      </c>
      <c r="I30" s="36" t="s">
        <v>241</v>
      </c>
      <c r="J30" s="108" t="n">
        <v>500</v>
      </c>
      <c r="K30" s="108" t="n">
        <f aca="false">IF(ISBLANK(H30),"",H30*J30)</f>
        <v>500</v>
      </c>
      <c r="L30" s="103"/>
      <c r="M30" s="113" t="n">
        <v>1</v>
      </c>
      <c r="N30" s="36" t="s">
        <v>241</v>
      </c>
      <c r="O30" s="108" t="n">
        <v>500</v>
      </c>
      <c r="P30" s="108" t="n">
        <f aca="false">IF(ISBLANK(M30),"",M30*O30)</f>
        <v>500</v>
      </c>
      <c r="Q30" s="103"/>
      <c r="R30" s="113" t="n">
        <v>1</v>
      </c>
      <c r="S30" s="36" t="s">
        <v>241</v>
      </c>
      <c r="T30" s="108" t="n">
        <v>500</v>
      </c>
      <c r="U30" s="108" t="n">
        <f aca="false">IF(ISBLANK(R30),"",R30*T30)</f>
        <v>500</v>
      </c>
      <c r="V30" s="103"/>
      <c r="W30" s="113"/>
      <c r="X30" s="36" t="s">
        <v>241</v>
      </c>
      <c r="Y30" s="108"/>
      <c r="Z30" s="108" t="str">
        <f aca="false">IF(ISBLANK(W30),"",W30*Y30)</f>
        <v/>
      </c>
      <c r="AA30" s="103"/>
      <c r="AB30" s="113"/>
      <c r="AC30" s="36" t="s">
        <v>241</v>
      </c>
      <c r="AD30" s="108"/>
      <c r="AE30" s="108" t="str">
        <f aca="false">IF(ISBLANK(AB30),"",AB30*AD30)</f>
        <v/>
      </c>
      <c r="AF30" s="103"/>
      <c r="AG30" s="113"/>
      <c r="AH30" s="36" t="s">
        <v>241</v>
      </c>
      <c r="AI30" s="108"/>
      <c r="AJ30" s="108" t="str">
        <f aca="false">IF(ISBLANK(AG30),"",AG30*AI30)</f>
        <v/>
      </c>
      <c r="AK30" s="103"/>
      <c r="AL30" s="113"/>
      <c r="AM30" s="36" t="s">
        <v>241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112"/>
      <c r="C31" s="113"/>
      <c r="D31" s="36"/>
      <c r="E31" s="108"/>
      <c r="F31" s="108" t="str">
        <f aca="false">IF(ISBLANK(C31),"",C31*E31)</f>
        <v/>
      </c>
      <c r="G31" s="103"/>
      <c r="H31" s="113"/>
      <c r="I31" s="36"/>
      <c r="J31" s="108"/>
      <c r="K31" s="108" t="str">
        <f aca="false">IF(ISBLANK(H31),"",H31*J31)</f>
        <v/>
      </c>
      <c r="L31" s="103"/>
      <c r="M31" s="113"/>
      <c r="N31" s="36"/>
      <c r="O31" s="108"/>
      <c r="P31" s="108" t="str">
        <f aca="false">IF(ISBLANK(M31),"",M31*O31)</f>
        <v/>
      </c>
      <c r="Q31" s="103"/>
      <c r="R31" s="113"/>
      <c r="S31" s="36"/>
      <c r="T31" s="108"/>
      <c r="U31" s="108" t="str">
        <f aca="false">IF(ISBLANK(R31),"",R31*T31)</f>
        <v/>
      </c>
      <c r="V31" s="103"/>
      <c r="W31" s="113"/>
      <c r="X31" s="36"/>
      <c r="Y31" s="108"/>
      <c r="Z31" s="108" t="str">
        <f aca="false">IF(ISBLANK(W31),"",W31*Y31)</f>
        <v/>
      </c>
      <c r="AA31" s="103"/>
      <c r="AB31" s="113"/>
      <c r="AC31" s="36"/>
      <c r="AD31" s="108"/>
      <c r="AE31" s="108" t="str">
        <f aca="false">IF(ISBLANK(AB31),"",AB31*AD31)</f>
        <v/>
      </c>
      <c r="AF31" s="103"/>
      <c r="AG31" s="113"/>
      <c r="AH31" s="36"/>
      <c r="AI31" s="108"/>
      <c r="AJ31" s="108" t="str">
        <f aca="false">IF(ISBLANK(AG31),"",AG31*AI31)</f>
        <v/>
      </c>
      <c r="AK31" s="103"/>
      <c r="AL31" s="113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112" t="s">
        <v>246</v>
      </c>
      <c r="C32" s="113" t="n">
        <v>1</v>
      </c>
      <c r="D32" s="36" t="s">
        <v>241</v>
      </c>
      <c r="E32" s="108" t="n">
        <v>1500</v>
      </c>
      <c r="F32" s="108" t="n">
        <f aca="false">IF(ISBLANK(C32),"",C32*E32)</f>
        <v>1500</v>
      </c>
      <c r="G32" s="103"/>
      <c r="H32" s="113" t="n">
        <v>1</v>
      </c>
      <c r="I32" s="36" t="s">
        <v>241</v>
      </c>
      <c r="J32" s="108" t="n">
        <v>5000</v>
      </c>
      <c r="K32" s="108" t="n">
        <f aca="false">IF(ISBLANK(H32),"",H32*J32)</f>
        <v>5000</v>
      </c>
      <c r="L32" s="103"/>
      <c r="M32" s="113" t="n">
        <v>1</v>
      </c>
      <c r="N32" s="36" t="s">
        <v>241</v>
      </c>
      <c r="O32" s="108" t="n">
        <v>1500</v>
      </c>
      <c r="P32" s="108" t="n">
        <f aca="false">IF(ISBLANK(M32),"",M32*O32)</f>
        <v>1500</v>
      </c>
      <c r="Q32" s="103"/>
      <c r="R32" s="113" t="n">
        <v>1</v>
      </c>
      <c r="S32" s="36" t="s">
        <v>241</v>
      </c>
      <c r="T32" s="108" t="n">
        <v>5000</v>
      </c>
      <c r="U32" s="108" t="n">
        <f aca="false">IF(ISBLANK(R32),"",R32*T32)</f>
        <v>5000</v>
      </c>
      <c r="V32" s="103"/>
      <c r="W32" s="113"/>
      <c r="X32" s="36" t="s">
        <v>241</v>
      </c>
      <c r="Y32" s="108"/>
      <c r="Z32" s="108" t="str">
        <f aca="false">IF(ISBLANK(W32),"",W32*Y32)</f>
        <v/>
      </c>
      <c r="AA32" s="103"/>
      <c r="AB32" s="113"/>
      <c r="AC32" s="36" t="s">
        <v>241</v>
      </c>
      <c r="AD32" s="108"/>
      <c r="AE32" s="108" t="str">
        <f aca="false">IF(ISBLANK(AB32),"",AB32*AD32)</f>
        <v/>
      </c>
      <c r="AF32" s="103"/>
      <c r="AG32" s="113"/>
      <c r="AH32" s="36" t="s">
        <v>241</v>
      </c>
      <c r="AI32" s="108"/>
      <c r="AJ32" s="108" t="str">
        <f aca="false">IF(ISBLANK(AG32),"",AG32*AI32)</f>
        <v/>
      </c>
      <c r="AK32" s="103"/>
      <c r="AL32" s="113"/>
      <c r="AM32" s="36" t="s">
        <v>241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112"/>
      <c r="C33" s="113"/>
      <c r="D33" s="36"/>
      <c r="E33" s="108"/>
      <c r="F33" s="108" t="str">
        <f aca="false">IF(ISBLANK(C33),"",C33*E33)</f>
        <v/>
      </c>
      <c r="G33" s="103"/>
      <c r="H33" s="113"/>
      <c r="I33" s="36"/>
      <c r="J33" s="108"/>
      <c r="K33" s="108" t="str">
        <f aca="false">IF(ISBLANK(H33),"",H33*J33)</f>
        <v/>
      </c>
      <c r="L33" s="103"/>
      <c r="M33" s="113"/>
      <c r="N33" s="36"/>
      <c r="O33" s="108"/>
      <c r="P33" s="108" t="str">
        <f aca="false">IF(ISBLANK(M33),"",M33*O33)</f>
        <v/>
      </c>
      <c r="Q33" s="103"/>
      <c r="R33" s="113"/>
      <c r="S33" s="36"/>
      <c r="T33" s="108"/>
      <c r="U33" s="108" t="str">
        <f aca="false">IF(ISBLANK(R33),"",R33*T33)</f>
        <v/>
      </c>
      <c r="V33" s="103"/>
      <c r="W33" s="113"/>
      <c r="X33" s="36"/>
      <c r="Y33" s="108"/>
      <c r="Z33" s="108" t="str">
        <f aca="false">IF(ISBLANK(W33),"",W33*Y33)</f>
        <v/>
      </c>
      <c r="AA33" s="103"/>
      <c r="AB33" s="113"/>
      <c r="AC33" s="36"/>
      <c r="AD33" s="108"/>
      <c r="AE33" s="108" t="str">
        <f aca="false">IF(ISBLANK(AB33),"",AB33*AD33)</f>
        <v/>
      </c>
      <c r="AF33" s="103"/>
      <c r="AG33" s="113"/>
      <c r="AH33" s="36"/>
      <c r="AI33" s="108"/>
      <c r="AJ33" s="108" t="str">
        <f aca="false">IF(ISBLANK(AG33),"",AG33*AI33)</f>
        <v/>
      </c>
      <c r="AK33" s="103"/>
      <c r="AL33" s="113"/>
      <c r="AM33" s="36"/>
      <c r="AN33" s="108"/>
      <c r="AO33" s="108" t="str">
        <f aca="false">IF(ISBLANK(AL33),"",AL33*AN33)</f>
        <v/>
      </c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112" t="s">
        <v>247</v>
      </c>
      <c r="C34" s="113" t="n">
        <v>1</v>
      </c>
      <c r="D34" s="36" t="s">
        <v>241</v>
      </c>
      <c r="E34" s="108" t="n">
        <v>1000</v>
      </c>
      <c r="F34" s="108" t="n">
        <f aca="false">IF(ISBLANK(C34),"",C34*E34)</f>
        <v>1000</v>
      </c>
      <c r="G34" s="103"/>
      <c r="H34" s="113" t="n">
        <v>1</v>
      </c>
      <c r="I34" s="36" t="s">
        <v>241</v>
      </c>
      <c r="J34" s="108" t="n">
        <v>1000</v>
      </c>
      <c r="K34" s="108" t="n">
        <f aca="false">IF(ISBLANK(H34),"",H34*J34)</f>
        <v>1000</v>
      </c>
      <c r="L34" s="103"/>
      <c r="M34" s="113" t="n">
        <v>1</v>
      </c>
      <c r="N34" s="36" t="s">
        <v>241</v>
      </c>
      <c r="O34" s="108" t="n">
        <v>1000</v>
      </c>
      <c r="P34" s="108" t="n">
        <f aca="false">IF(ISBLANK(M34),"",M34*O34)</f>
        <v>1000</v>
      </c>
      <c r="Q34" s="103"/>
      <c r="R34" s="113" t="n">
        <v>1</v>
      </c>
      <c r="S34" s="36" t="s">
        <v>241</v>
      </c>
      <c r="T34" s="108" t="n">
        <v>1000</v>
      </c>
      <c r="U34" s="108" t="n">
        <f aca="false">IF(ISBLANK(R34),"",R34*T34)</f>
        <v>1000</v>
      </c>
      <c r="V34" s="103"/>
      <c r="W34" s="113"/>
      <c r="X34" s="36" t="s">
        <v>241</v>
      </c>
      <c r="Y34" s="108"/>
      <c r="Z34" s="108" t="str">
        <f aca="false">IF(ISBLANK(W34),"",W34*Y34)</f>
        <v/>
      </c>
      <c r="AA34" s="103"/>
      <c r="AB34" s="113"/>
      <c r="AC34" s="36" t="s">
        <v>241</v>
      </c>
      <c r="AD34" s="108"/>
      <c r="AE34" s="108" t="str">
        <f aca="false">IF(ISBLANK(AB34),"",AB34*AD34)</f>
        <v/>
      </c>
      <c r="AF34" s="103"/>
      <c r="AG34" s="113"/>
      <c r="AH34" s="36" t="s">
        <v>241</v>
      </c>
      <c r="AI34" s="108"/>
      <c r="AJ34" s="108" t="str">
        <f aca="false">IF(ISBLANK(AG34),"",AG34*AI34)</f>
        <v/>
      </c>
      <c r="AK34" s="103"/>
      <c r="AL34" s="113"/>
      <c r="AM34" s="36" t="s">
        <v>241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112"/>
      <c r="C35" s="113"/>
      <c r="D35" s="36"/>
      <c r="E35" s="108"/>
      <c r="F35" s="108" t="str">
        <f aca="false">IF(ISBLANK(C35),"",C35*E35)</f>
        <v/>
      </c>
      <c r="G35" s="103"/>
      <c r="H35" s="113"/>
      <c r="I35" s="36"/>
      <c r="J35" s="108"/>
      <c r="K35" s="108" t="str">
        <f aca="false">IF(ISBLANK(H35),"",H35*J35)</f>
        <v/>
      </c>
      <c r="L35" s="103"/>
      <c r="M35" s="113"/>
      <c r="N35" s="36"/>
      <c r="O35" s="108"/>
      <c r="P35" s="108" t="str">
        <f aca="false">IF(ISBLANK(M35),"",M35*O35)</f>
        <v/>
      </c>
      <c r="Q35" s="103"/>
      <c r="R35" s="113"/>
      <c r="S35" s="36"/>
      <c r="T35" s="108"/>
      <c r="U35" s="108" t="str">
        <f aca="false">IF(ISBLANK(R35),"",R35*T35)</f>
        <v/>
      </c>
      <c r="V35" s="103"/>
      <c r="W35" s="113"/>
      <c r="X35" s="36"/>
      <c r="Y35" s="108"/>
      <c r="Z35" s="108" t="str">
        <f aca="false">IF(ISBLANK(W35),"",W35*Y35)</f>
        <v/>
      </c>
      <c r="AA35" s="103"/>
      <c r="AB35" s="113"/>
      <c r="AC35" s="36"/>
      <c r="AD35" s="108"/>
      <c r="AE35" s="108" t="str">
        <f aca="false">IF(ISBLANK(AB35),"",AB35*AD35)</f>
        <v/>
      </c>
      <c r="AF35" s="103"/>
      <c r="AG35" s="113"/>
      <c r="AH35" s="36"/>
      <c r="AI35" s="108"/>
      <c r="AJ35" s="108" t="str">
        <f aca="false">IF(ISBLANK(AG35),"",AG35*AI35)</f>
        <v/>
      </c>
      <c r="AK35" s="103"/>
      <c r="AL35" s="113"/>
      <c r="AM35" s="36"/>
      <c r="AN35" s="108"/>
      <c r="AO35" s="108" t="str">
        <f aca="false">IF(ISBLANK(AL35),"",AL35*AN35)</f>
        <v/>
      </c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112" t="s">
        <v>248</v>
      </c>
      <c r="C36" s="113" t="n">
        <v>1</v>
      </c>
      <c r="D36" s="36" t="s">
        <v>241</v>
      </c>
      <c r="E36" s="108" t="n">
        <v>1000</v>
      </c>
      <c r="F36" s="108" t="n">
        <f aca="false">IF(ISBLANK(C36),"",C36*E36)</f>
        <v>1000</v>
      </c>
      <c r="G36" s="103"/>
      <c r="H36" s="113" t="n">
        <v>1</v>
      </c>
      <c r="I36" s="36" t="s">
        <v>241</v>
      </c>
      <c r="J36" s="108" t="n">
        <v>1000</v>
      </c>
      <c r="K36" s="108" t="n">
        <f aca="false">IF(ISBLANK(H36),"",H36*J36)</f>
        <v>1000</v>
      </c>
      <c r="L36" s="103"/>
      <c r="M36" s="113" t="n">
        <v>1</v>
      </c>
      <c r="N36" s="36" t="s">
        <v>241</v>
      </c>
      <c r="O36" s="108" t="n">
        <v>1000</v>
      </c>
      <c r="P36" s="108" t="n">
        <f aca="false">IF(ISBLANK(M36),"",M36*O36)</f>
        <v>1000</v>
      </c>
      <c r="Q36" s="103"/>
      <c r="R36" s="113" t="n">
        <v>1</v>
      </c>
      <c r="S36" s="36" t="s">
        <v>241</v>
      </c>
      <c r="T36" s="108" t="n">
        <v>2250</v>
      </c>
      <c r="U36" s="108" t="n">
        <f aca="false">IF(ISBLANK(R36),"",R36*T36)</f>
        <v>2250</v>
      </c>
      <c r="V36" s="103"/>
      <c r="W36" s="113"/>
      <c r="X36" s="36" t="s">
        <v>241</v>
      </c>
      <c r="Y36" s="108"/>
      <c r="Z36" s="108" t="str">
        <f aca="false">IF(ISBLANK(W36),"",W36*Y36)</f>
        <v/>
      </c>
      <c r="AA36" s="103"/>
      <c r="AB36" s="113"/>
      <c r="AC36" s="36" t="s">
        <v>241</v>
      </c>
      <c r="AD36" s="108"/>
      <c r="AE36" s="108" t="str">
        <f aca="false">IF(ISBLANK(AB36),"",AB36*AD36)</f>
        <v/>
      </c>
      <c r="AF36" s="103"/>
      <c r="AG36" s="113"/>
      <c r="AH36" s="36" t="s">
        <v>241</v>
      </c>
      <c r="AI36" s="108"/>
      <c r="AJ36" s="108" t="str">
        <f aca="false">IF(ISBLANK(AG36),"",AG36*AI36)</f>
        <v/>
      </c>
      <c r="AK36" s="103"/>
      <c r="AL36" s="113"/>
      <c r="AM36" s="36" t="s">
        <v>241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112"/>
      <c r="C37" s="113"/>
      <c r="D37" s="36"/>
      <c r="E37" s="108"/>
      <c r="F37" s="108" t="str">
        <f aca="false">IF(ISBLANK(C37),"",C37*E37)</f>
        <v/>
      </c>
      <c r="G37" s="103"/>
      <c r="H37" s="113"/>
      <c r="I37" s="36"/>
      <c r="J37" s="108"/>
      <c r="K37" s="108" t="str">
        <f aca="false">IF(ISBLANK(H37),"",H37*J37)</f>
        <v/>
      </c>
      <c r="L37" s="103"/>
      <c r="M37" s="113"/>
      <c r="N37" s="36"/>
      <c r="O37" s="108"/>
      <c r="P37" s="108" t="str">
        <f aca="false">IF(ISBLANK(M37),"",M37*O37)</f>
        <v/>
      </c>
      <c r="Q37" s="103"/>
      <c r="R37" s="113"/>
      <c r="S37" s="36"/>
      <c r="T37" s="108"/>
      <c r="U37" s="108" t="str">
        <f aca="false">IF(ISBLANK(R37),"",R37*T37)</f>
        <v/>
      </c>
      <c r="V37" s="103"/>
      <c r="W37" s="113"/>
      <c r="X37" s="36"/>
      <c r="Y37" s="108"/>
      <c r="Z37" s="108" t="str">
        <f aca="false">IF(ISBLANK(W37),"",W37*Y37)</f>
        <v/>
      </c>
      <c r="AA37" s="103"/>
      <c r="AB37" s="113"/>
      <c r="AC37" s="36"/>
      <c r="AD37" s="108"/>
      <c r="AE37" s="108" t="str">
        <f aca="false">IF(ISBLANK(AB37),"",AB37*AD37)</f>
        <v/>
      </c>
      <c r="AF37" s="103"/>
      <c r="AG37" s="113"/>
      <c r="AH37" s="36"/>
      <c r="AI37" s="108"/>
      <c r="AJ37" s="108" t="str">
        <f aca="false">IF(ISBLANK(AG37),"",AG37*AI37)</f>
        <v/>
      </c>
      <c r="AK37" s="103"/>
      <c r="AL37" s="113"/>
      <c r="AM37" s="36"/>
      <c r="AN37" s="108"/>
      <c r="AO37" s="108" t="str">
        <f aca="false">IF(ISBLANK(AL37),"",AL37*AN37)</f>
        <v/>
      </c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112" t="s">
        <v>249</v>
      </c>
      <c r="C38" s="113" t="n">
        <v>1</v>
      </c>
      <c r="D38" s="36" t="s">
        <v>241</v>
      </c>
      <c r="E38" s="108" t="n">
        <v>500</v>
      </c>
      <c r="F38" s="108" t="n">
        <f aca="false">IF(ISBLANK(C38),"",C38*E38)</f>
        <v>500</v>
      </c>
      <c r="G38" s="103"/>
      <c r="H38" s="113" t="n">
        <v>1</v>
      </c>
      <c r="I38" s="36" t="s">
        <v>241</v>
      </c>
      <c r="J38" s="108" t="n">
        <v>1000</v>
      </c>
      <c r="K38" s="108" t="n">
        <f aca="false">IF(ISBLANK(H38),"",H38*J38)</f>
        <v>1000</v>
      </c>
      <c r="L38" s="103"/>
      <c r="M38" s="113" t="n">
        <v>1</v>
      </c>
      <c r="N38" s="36" t="s">
        <v>241</v>
      </c>
      <c r="O38" s="108" t="n">
        <v>2500</v>
      </c>
      <c r="P38" s="108" t="n">
        <f aca="false">IF(ISBLANK(M38),"",M38*O38)</f>
        <v>2500</v>
      </c>
      <c r="Q38" s="103"/>
      <c r="R38" s="113" t="n">
        <v>1</v>
      </c>
      <c r="S38" s="36" t="s">
        <v>241</v>
      </c>
      <c r="T38" s="108" t="n">
        <v>250</v>
      </c>
      <c r="U38" s="108" t="n">
        <f aca="false">IF(ISBLANK(R38),"",R38*T38)</f>
        <v>250</v>
      </c>
      <c r="V38" s="103"/>
      <c r="W38" s="113"/>
      <c r="X38" s="36" t="s">
        <v>241</v>
      </c>
      <c r="Y38" s="108"/>
      <c r="Z38" s="108" t="str">
        <f aca="false">IF(ISBLANK(W38),"",W38*Y38)</f>
        <v/>
      </c>
      <c r="AA38" s="103"/>
      <c r="AB38" s="113"/>
      <c r="AC38" s="36" t="s">
        <v>241</v>
      </c>
      <c r="AD38" s="108"/>
      <c r="AE38" s="108" t="str">
        <f aca="false">IF(ISBLANK(AB38),"",AB38*AD38)</f>
        <v/>
      </c>
      <c r="AF38" s="103"/>
      <c r="AG38" s="113"/>
      <c r="AH38" s="36" t="s">
        <v>241</v>
      </c>
      <c r="AI38" s="108"/>
      <c r="AJ38" s="108" t="str">
        <f aca="false">IF(ISBLANK(AG38),"",AG38*AI38)</f>
        <v/>
      </c>
      <c r="AK38" s="103"/>
      <c r="AL38" s="113"/>
      <c r="AM38" s="36" t="s">
        <v>241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112"/>
      <c r="C39" s="113"/>
      <c r="D39" s="36"/>
      <c r="E39" s="108"/>
      <c r="F39" s="108" t="str">
        <f aca="false">IF(ISBLANK(C39),"",C39*E39)</f>
        <v/>
      </c>
      <c r="G39" s="103"/>
      <c r="H39" s="113"/>
      <c r="I39" s="36"/>
      <c r="J39" s="108"/>
      <c r="K39" s="108" t="str">
        <f aca="false">IF(ISBLANK(H39),"",H39*J39)</f>
        <v/>
      </c>
      <c r="L39" s="103"/>
      <c r="M39" s="113"/>
      <c r="N39" s="36"/>
      <c r="O39" s="108"/>
      <c r="P39" s="108" t="str">
        <f aca="false">IF(ISBLANK(M39),"",M39*O39)</f>
        <v/>
      </c>
      <c r="Q39" s="103"/>
      <c r="R39" s="113"/>
      <c r="S39" s="36"/>
      <c r="T39" s="108"/>
      <c r="U39" s="108" t="str">
        <f aca="false">IF(ISBLANK(R39),"",R39*T39)</f>
        <v/>
      </c>
      <c r="V39" s="103"/>
      <c r="W39" s="113"/>
      <c r="X39" s="36"/>
      <c r="Y39" s="108"/>
      <c r="Z39" s="108" t="str">
        <f aca="false">IF(ISBLANK(W39),"",W39*Y39)</f>
        <v/>
      </c>
      <c r="AA39" s="103"/>
      <c r="AB39" s="113"/>
      <c r="AC39" s="36"/>
      <c r="AD39" s="108"/>
      <c r="AE39" s="108" t="str">
        <f aca="false">IF(ISBLANK(AB39),"",AB39*AD39)</f>
        <v/>
      </c>
      <c r="AF39" s="103"/>
      <c r="AG39" s="113"/>
      <c r="AH39" s="36"/>
      <c r="AI39" s="108"/>
      <c r="AJ39" s="108" t="str">
        <f aca="false">IF(ISBLANK(AG39),"",AG39*AI39)</f>
        <v/>
      </c>
      <c r="AK39" s="103"/>
      <c r="AL39" s="113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112" t="s">
        <v>250</v>
      </c>
      <c r="C40" s="113" t="n">
        <v>1</v>
      </c>
      <c r="D40" s="36" t="s">
        <v>241</v>
      </c>
      <c r="E40" s="108" t="n">
        <v>150</v>
      </c>
      <c r="F40" s="108" t="n">
        <f aca="false">IF(ISBLANK(C40),"",C40*E40)</f>
        <v>150</v>
      </c>
      <c r="G40" s="103"/>
      <c r="H40" s="113" t="n">
        <v>1</v>
      </c>
      <c r="I40" s="36" t="s">
        <v>241</v>
      </c>
      <c r="J40" s="108" t="n">
        <v>1000</v>
      </c>
      <c r="K40" s="108" t="n">
        <f aca="false">IF(ISBLANK(H40),"",H40*J40)</f>
        <v>1000</v>
      </c>
      <c r="L40" s="103"/>
      <c r="M40" s="113" t="n">
        <v>1</v>
      </c>
      <c r="N40" s="36" t="s">
        <v>241</v>
      </c>
      <c r="O40" s="108" t="n">
        <v>1000</v>
      </c>
      <c r="P40" s="108" t="n">
        <f aca="false">IF(ISBLANK(M40),"",M40*O40)</f>
        <v>1000</v>
      </c>
      <c r="Q40" s="103"/>
      <c r="R40" s="113" t="n">
        <v>1</v>
      </c>
      <c r="S40" s="36" t="s">
        <v>241</v>
      </c>
      <c r="T40" s="108" t="n">
        <v>650</v>
      </c>
      <c r="U40" s="108" t="n">
        <f aca="false">IF(ISBLANK(R40),"",R40*T40)</f>
        <v>650</v>
      </c>
      <c r="V40" s="103"/>
      <c r="W40" s="113"/>
      <c r="X40" s="36" t="s">
        <v>241</v>
      </c>
      <c r="Y40" s="108"/>
      <c r="Z40" s="108" t="str">
        <f aca="false">IF(ISBLANK(W40),"",W40*Y40)</f>
        <v/>
      </c>
      <c r="AA40" s="103"/>
      <c r="AB40" s="113"/>
      <c r="AC40" s="36" t="s">
        <v>241</v>
      </c>
      <c r="AD40" s="108"/>
      <c r="AE40" s="108" t="str">
        <f aca="false">IF(ISBLANK(AB40),"",AB40*AD40)</f>
        <v/>
      </c>
      <c r="AF40" s="103"/>
      <c r="AG40" s="113"/>
      <c r="AH40" s="36" t="s">
        <v>241</v>
      </c>
      <c r="AI40" s="108"/>
      <c r="AJ40" s="108" t="str">
        <f aca="false">IF(ISBLANK(AG40),"",AG40*AI40)</f>
        <v/>
      </c>
      <c r="AK40" s="103"/>
      <c r="AL40" s="113"/>
      <c r="AM40" s="36" t="s">
        <v>241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112"/>
      <c r="C41" s="113"/>
      <c r="D41" s="36"/>
      <c r="E41" s="108"/>
      <c r="F41" s="108" t="str">
        <f aca="false">IF(ISBLANK(C41),"",C41*E41)</f>
        <v/>
      </c>
      <c r="G41" s="103"/>
      <c r="H41" s="113"/>
      <c r="I41" s="36"/>
      <c r="J41" s="108"/>
      <c r="K41" s="108" t="str">
        <f aca="false">IF(ISBLANK(H41),"",H41*J41)</f>
        <v/>
      </c>
      <c r="L41" s="103"/>
      <c r="M41" s="113"/>
      <c r="N41" s="36"/>
      <c r="O41" s="108"/>
      <c r="P41" s="108" t="str">
        <f aca="false">IF(ISBLANK(M41),"",M41*O41)</f>
        <v/>
      </c>
      <c r="Q41" s="103"/>
      <c r="R41" s="113"/>
      <c r="S41" s="36"/>
      <c r="T41" s="108"/>
      <c r="U41" s="108" t="str">
        <f aca="false">IF(ISBLANK(R41),"",R41*T41)</f>
        <v/>
      </c>
      <c r="V41" s="103"/>
      <c r="W41" s="113"/>
      <c r="X41" s="36"/>
      <c r="Y41" s="108"/>
      <c r="Z41" s="108" t="str">
        <f aca="false">IF(ISBLANK(W41),"",W41*Y41)</f>
        <v/>
      </c>
      <c r="AA41" s="103"/>
      <c r="AB41" s="113"/>
      <c r="AC41" s="36"/>
      <c r="AD41" s="108"/>
      <c r="AE41" s="108" t="str">
        <f aca="false">IF(ISBLANK(AB41),"",AB41*AD41)</f>
        <v/>
      </c>
      <c r="AF41" s="103"/>
      <c r="AG41" s="113"/>
      <c r="AH41" s="36"/>
      <c r="AI41" s="108"/>
      <c r="AJ41" s="108" t="str">
        <f aca="false">IF(ISBLANK(AG41),"",AG41*AI41)</f>
        <v/>
      </c>
      <c r="AK41" s="103"/>
      <c r="AL41" s="113"/>
      <c r="AM41" s="36"/>
      <c r="AN41" s="108"/>
      <c r="AO41" s="108" t="str">
        <f aca="false">IF(ISBLANK(AL41),"",AL41*AN41)</f>
        <v/>
      </c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112" t="s">
        <v>251</v>
      </c>
      <c r="C42" s="113" t="n">
        <v>1</v>
      </c>
      <c r="D42" s="36" t="s">
        <v>241</v>
      </c>
      <c r="E42" s="108" t="n">
        <v>500</v>
      </c>
      <c r="F42" s="108" t="n">
        <f aca="false">IF(ISBLANK(C42),"",C42*E42)</f>
        <v>500</v>
      </c>
      <c r="G42" s="103"/>
      <c r="H42" s="113" t="n">
        <v>1</v>
      </c>
      <c r="I42" s="36" t="s">
        <v>241</v>
      </c>
      <c r="J42" s="108" t="n">
        <v>2500</v>
      </c>
      <c r="K42" s="108" t="n">
        <f aca="false">IF(ISBLANK(H42),"",H42*J42)</f>
        <v>2500</v>
      </c>
      <c r="L42" s="103"/>
      <c r="M42" s="113" t="n">
        <v>1</v>
      </c>
      <c r="N42" s="36" t="s">
        <v>241</v>
      </c>
      <c r="O42" s="108" t="n">
        <v>1000</v>
      </c>
      <c r="P42" s="108" t="n">
        <f aca="false">IF(ISBLANK(M42),"",M42*O42)</f>
        <v>1000</v>
      </c>
      <c r="Q42" s="103"/>
      <c r="R42" s="113" t="n">
        <v>1</v>
      </c>
      <c r="S42" s="36" t="s">
        <v>241</v>
      </c>
      <c r="T42" s="108" t="n">
        <v>1000</v>
      </c>
      <c r="U42" s="108" t="n">
        <f aca="false">IF(ISBLANK(R42),"",R42*T42)</f>
        <v>1000</v>
      </c>
      <c r="V42" s="103"/>
      <c r="W42" s="113"/>
      <c r="X42" s="36" t="s">
        <v>241</v>
      </c>
      <c r="Y42" s="108"/>
      <c r="Z42" s="108" t="str">
        <f aca="false">IF(ISBLANK(W42),"",W42*Y42)</f>
        <v/>
      </c>
      <c r="AA42" s="103"/>
      <c r="AB42" s="113"/>
      <c r="AC42" s="36" t="s">
        <v>241</v>
      </c>
      <c r="AD42" s="108"/>
      <c r="AE42" s="108" t="str">
        <f aca="false">IF(ISBLANK(AB42),"",AB42*AD42)</f>
        <v/>
      </c>
      <c r="AF42" s="103"/>
      <c r="AG42" s="113"/>
      <c r="AH42" s="36" t="s">
        <v>241</v>
      </c>
      <c r="AI42" s="108"/>
      <c r="AJ42" s="108" t="str">
        <f aca="false">IF(ISBLANK(AG42),"",AG42*AI42)</f>
        <v/>
      </c>
      <c r="AK42" s="103"/>
      <c r="AL42" s="113"/>
      <c r="AM42" s="36" t="s">
        <v>241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112"/>
      <c r="C43" s="113"/>
      <c r="D43" s="36"/>
      <c r="E43" s="108"/>
      <c r="F43" s="108" t="str">
        <f aca="false">IF(ISBLANK(C43),"",C43*E43)</f>
        <v/>
      </c>
      <c r="G43" s="103"/>
      <c r="H43" s="113"/>
      <c r="I43" s="36"/>
      <c r="J43" s="108"/>
      <c r="K43" s="108" t="str">
        <f aca="false">IF(ISBLANK(H43),"",H43*J43)</f>
        <v/>
      </c>
      <c r="L43" s="103"/>
      <c r="M43" s="113"/>
      <c r="N43" s="36"/>
      <c r="O43" s="108"/>
      <c r="P43" s="108" t="str">
        <f aca="false">IF(ISBLANK(M43),"",M43*O43)</f>
        <v/>
      </c>
      <c r="Q43" s="103"/>
      <c r="R43" s="113"/>
      <c r="S43" s="36"/>
      <c r="T43" s="108"/>
      <c r="U43" s="108" t="str">
        <f aca="false">IF(ISBLANK(R43),"",R43*T43)</f>
        <v/>
      </c>
      <c r="V43" s="103"/>
      <c r="W43" s="113"/>
      <c r="X43" s="36"/>
      <c r="Y43" s="108"/>
      <c r="Z43" s="108" t="str">
        <f aca="false">IF(ISBLANK(W43),"",W43*Y43)</f>
        <v/>
      </c>
      <c r="AA43" s="103"/>
      <c r="AB43" s="113"/>
      <c r="AC43" s="36"/>
      <c r="AD43" s="108"/>
      <c r="AE43" s="108" t="str">
        <f aca="false">IF(ISBLANK(AB43),"",AB43*AD43)</f>
        <v/>
      </c>
      <c r="AF43" s="103"/>
      <c r="AG43" s="113"/>
      <c r="AH43" s="36"/>
      <c r="AI43" s="108"/>
      <c r="AJ43" s="108" t="str">
        <f aca="false">IF(ISBLANK(AG43),"",AG43*AI43)</f>
        <v/>
      </c>
      <c r="AK43" s="103"/>
      <c r="AL43" s="113"/>
      <c r="AM43" s="36"/>
      <c r="AN43" s="108"/>
      <c r="AO43" s="108" t="str">
        <f aca="false">IF(ISBLANK(AL43),"",AL43*AN43)</f>
        <v/>
      </c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112" t="s">
        <v>252</v>
      </c>
      <c r="C44" s="113" t="n">
        <v>270</v>
      </c>
      <c r="D44" s="36" t="s">
        <v>241</v>
      </c>
      <c r="E44" s="108" t="n">
        <v>75</v>
      </c>
      <c r="F44" s="108" t="n">
        <f aca="false">IF(ISBLANK(C44),"",C44*E44)</f>
        <v>20250</v>
      </c>
      <c r="G44" s="103"/>
      <c r="H44" s="113" t="n">
        <v>270</v>
      </c>
      <c r="I44" s="36" t="s">
        <v>241</v>
      </c>
      <c r="J44" s="108" t="n">
        <v>45</v>
      </c>
      <c r="K44" s="108" t="n">
        <f aca="false">IF(ISBLANK(H44),"",H44*J44)</f>
        <v>12150</v>
      </c>
      <c r="L44" s="103"/>
      <c r="M44" s="113" t="n">
        <v>270</v>
      </c>
      <c r="N44" s="36" t="s">
        <v>241</v>
      </c>
      <c r="O44" s="108" t="n">
        <v>45</v>
      </c>
      <c r="P44" s="108" t="n">
        <f aca="false">IF(ISBLANK(M44),"",M44*O44)</f>
        <v>12150</v>
      </c>
      <c r="Q44" s="103"/>
      <c r="R44" s="113" t="n">
        <v>270</v>
      </c>
      <c r="S44" s="36" t="s">
        <v>241</v>
      </c>
      <c r="T44" s="108" t="n">
        <v>45</v>
      </c>
      <c r="U44" s="108" t="n">
        <f aca="false">IF(ISBLANK(R44),"",R44*T44)</f>
        <v>12150</v>
      </c>
      <c r="V44" s="103"/>
      <c r="W44" s="113"/>
      <c r="X44" s="36" t="s">
        <v>241</v>
      </c>
      <c r="Y44" s="108"/>
      <c r="Z44" s="108" t="str">
        <f aca="false">IF(ISBLANK(W44),"",W44*Y44)</f>
        <v/>
      </c>
      <c r="AA44" s="103"/>
      <c r="AB44" s="113"/>
      <c r="AC44" s="36" t="s">
        <v>241</v>
      </c>
      <c r="AD44" s="108"/>
      <c r="AE44" s="108" t="str">
        <f aca="false">IF(ISBLANK(AB44),"",AB44*AD44)</f>
        <v/>
      </c>
      <c r="AF44" s="103"/>
      <c r="AG44" s="113"/>
      <c r="AH44" s="36" t="s">
        <v>241</v>
      </c>
      <c r="AI44" s="108"/>
      <c r="AJ44" s="108" t="str">
        <f aca="false">IF(ISBLANK(AG44),"",AG44*AI44)</f>
        <v/>
      </c>
      <c r="AK44" s="103"/>
      <c r="AL44" s="113"/>
      <c r="AM44" s="36" t="s">
        <v>241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09"/>
      <c r="B45" s="112"/>
      <c r="C45" s="113"/>
      <c r="D45" s="36"/>
      <c r="E45" s="108"/>
      <c r="F45" s="108" t="str">
        <f aca="false">IF(ISBLANK(C45),"",C45*E45)</f>
        <v/>
      </c>
      <c r="G45" s="103"/>
      <c r="H45" s="113"/>
      <c r="I45" s="36"/>
      <c r="J45" s="108"/>
      <c r="K45" s="108" t="str">
        <f aca="false">IF(ISBLANK(H45),"",H45*J45)</f>
        <v/>
      </c>
      <c r="L45" s="103"/>
      <c r="M45" s="113"/>
      <c r="N45" s="36"/>
      <c r="O45" s="108"/>
      <c r="P45" s="108" t="str">
        <f aca="false">IF(ISBLANK(M45),"",M45*O45)</f>
        <v/>
      </c>
      <c r="Q45" s="103"/>
      <c r="R45" s="113"/>
      <c r="S45" s="36"/>
      <c r="T45" s="108"/>
      <c r="U45" s="108" t="str">
        <f aca="false">IF(ISBLANK(R45),"",R45*T45)</f>
        <v/>
      </c>
      <c r="V45" s="103"/>
      <c r="W45" s="113"/>
      <c r="X45" s="36"/>
      <c r="Y45" s="108"/>
      <c r="Z45" s="108" t="str">
        <f aca="false">IF(ISBLANK(W45),"",W45*Y45)</f>
        <v/>
      </c>
      <c r="AA45" s="103"/>
      <c r="AB45" s="113"/>
      <c r="AC45" s="36"/>
      <c r="AD45" s="108"/>
      <c r="AE45" s="108" t="str">
        <f aca="false">IF(ISBLANK(AB45),"",AB45*AD45)</f>
        <v/>
      </c>
      <c r="AF45" s="103"/>
      <c r="AG45" s="113"/>
      <c r="AH45" s="36"/>
      <c r="AI45" s="108"/>
      <c r="AJ45" s="108" t="str">
        <f aca="false">IF(ISBLANK(AG45),"",AG45*AI45)</f>
        <v/>
      </c>
      <c r="AK45" s="103"/>
      <c r="AL45" s="113"/>
      <c r="AM45" s="36"/>
      <c r="AN45" s="108"/>
      <c r="AO45" s="108" t="str">
        <f aca="false">IF(ISBLANK(AL45),"",AL45*AN45)</f>
        <v/>
      </c>
      <c r="AP45" s="103"/>
    </row>
    <row r="46" customFormat="false" ht="11.25" hidden="false" customHeight="true" outlineLevel="0" collapsed="false">
      <c r="A46" s="174" t="n">
        <f aca="false">IF(B46&gt;0,IF(C46&gt;0,MAX($A$5:A44)+1," ")," ")</f>
        <v>20</v>
      </c>
      <c r="B46" s="112" t="s">
        <v>253</v>
      </c>
      <c r="C46" s="113" t="n">
        <v>540</v>
      </c>
      <c r="D46" s="36" t="s">
        <v>241</v>
      </c>
      <c r="E46" s="108" t="n">
        <v>500</v>
      </c>
      <c r="F46" s="108" t="n">
        <f aca="false">IF(ISBLANK(C46),"",C46*E46)</f>
        <v>270000</v>
      </c>
      <c r="G46" s="103"/>
      <c r="H46" s="113" t="n">
        <v>540</v>
      </c>
      <c r="I46" s="36" t="s">
        <v>241</v>
      </c>
      <c r="J46" s="108" t="n">
        <v>75</v>
      </c>
      <c r="K46" s="108" t="n">
        <f aca="false">IF(ISBLANK(H46),"",H46*J46)</f>
        <v>40500</v>
      </c>
      <c r="L46" s="103"/>
      <c r="M46" s="113" t="n">
        <v>540</v>
      </c>
      <c r="N46" s="36" t="s">
        <v>241</v>
      </c>
      <c r="O46" s="108" t="n">
        <v>75</v>
      </c>
      <c r="P46" s="108" t="n">
        <f aca="false">IF(ISBLANK(M46),"",M46*O46)</f>
        <v>40500</v>
      </c>
      <c r="Q46" s="103"/>
      <c r="R46" s="113" t="n">
        <v>540</v>
      </c>
      <c r="S46" s="36" t="s">
        <v>241</v>
      </c>
      <c r="T46" s="108" t="n">
        <v>75</v>
      </c>
      <c r="U46" s="108" t="n">
        <f aca="false">IF(ISBLANK(R46),"",R46*T46)</f>
        <v>40500</v>
      </c>
      <c r="V46" s="103"/>
      <c r="W46" s="113"/>
      <c r="X46" s="36" t="s">
        <v>241</v>
      </c>
      <c r="Y46" s="108"/>
      <c r="Z46" s="108" t="str">
        <f aca="false">IF(ISBLANK(W46),"",W46*Y46)</f>
        <v/>
      </c>
      <c r="AA46" s="103"/>
      <c r="AB46" s="113"/>
      <c r="AC46" s="36" t="s">
        <v>241</v>
      </c>
      <c r="AD46" s="108"/>
      <c r="AE46" s="108" t="str">
        <f aca="false">IF(ISBLANK(AB46),"",AB46*AD46)</f>
        <v/>
      </c>
      <c r="AF46" s="103"/>
      <c r="AG46" s="113"/>
      <c r="AH46" s="36" t="s">
        <v>241</v>
      </c>
      <c r="AI46" s="108"/>
      <c r="AJ46" s="108" t="str">
        <f aca="false">IF(ISBLANK(AG46),"",AG46*AI46)</f>
        <v/>
      </c>
      <c r="AK46" s="103"/>
      <c r="AL46" s="113"/>
      <c r="AM46" s="36" t="s">
        <v>241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74" t="str">
        <f aca="false">IF(B47&gt;0,IF(C47&gt;0,MAX($A$5:A46)+1," ")," ")</f>
        <v> </v>
      </c>
      <c r="B47" s="114"/>
      <c r="C47" s="115"/>
      <c r="D47" s="36"/>
      <c r="E47" s="108"/>
      <c r="F47" s="108" t="str">
        <f aca="false">IF(ISBLANK(C47),"",C47*E47)</f>
        <v/>
      </c>
      <c r="G47" s="103"/>
      <c r="H47" s="115"/>
      <c r="I47" s="36"/>
      <c r="J47" s="108"/>
      <c r="K47" s="108" t="str">
        <f aca="false">IF(ISBLANK(H47),"",H47*J47)</f>
        <v/>
      </c>
      <c r="L47" s="103"/>
      <c r="M47" s="115"/>
      <c r="N47" s="36"/>
      <c r="O47" s="108"/>
      <c r="P47" s="108" t="str">
        <f aca="false">IF(ISBLANK(M47),"",M47*O47)</f>
        <v/>
      </c>
      <c r="Q47" s="103"/>
      <c r="R47" s="115"/>
      <c r="S47" s="36"/>
      <c r="T47" s="108"/>
      <c r="U47" s="108" t="str">
        <f aca="false">IF(ISBLANK(R47),"",R47*T47)</f>
        <v/>
      </c>
      <c r="V47" s="103"/>
      <c r="W47" s="115"/>
      <c r="X47" s="36"/>
      <c r="Y47" s="108"/>
      <c r="Z47" s="108" t="str">
        <f aca="false">IF(ISBLANK(W47),"",W47*Y47)</f>
        <v/>
      </c>
      <c r="AA47" s="103"/>
      <c r="AB47" s="115"/>
      <c r="AC47" s="36"/>
      <c r="AD47" s="108"/>
      <c r="AE47" s="108" t="str">
        <f aca="false">IF(ISBLANK(AB47),"",AB47*AD47)</f>
        <v/>
      </c>
      <c r="AF47" s="103"/>
      <c r="AG47" s="115"/>
      <c r="AH47" s="36"/>
      <c r="AI47" s="108"/>
      <c r="AJ47" s="108" t="str">
        <f aca="false">IF(ISBLANK(AG47),"",AG47*AI47)</f>
        <v/>
      </c>
      <c r="AK47" s="103"/>
      <c r="AL47" s="115"/>
      <c r="AM47" s="36"/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IF(B53&gt;0,IF(C53&gt;0,MAX($A$5:A52)+1,"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430551.5</v>
      </c>
      <c r="G54" s="103"/>
      <c r="H54" s="98"/>
      <c r="I54" s="98"/>
      <c r="J54" s="117" t="s">
        <v>177</v>
      </c>
      <c r="K54" s="117" t="n">
        <f aca="false">SUM(K5:K53)</f>
        <v>195746</v>
      </c>
      <c r="L54" s="103"/>
      <c r="M54" s="98"/>
      <c r="N54" s="98"/>
      <c r="O54" s="117" t="s">
        <v>177</v>
      </c>
      <c r="P54" s="117" t="n">
        <f aca="false">SUM(P5:P53)</f>
        <v>183786.5</v>
      </c>
      <c r="Q54" s="103"/>
      <c r="R54" s="98"/>
      <c r="S54" s="98"/>
      <c r="T54" s="117" t="s">
        <v>177</v>
      </c>
      <c r="U54" s="117" t="n">
        <f aca="false">SUM(U5:U53)</f>
        <v>198451.5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1.1 Substructure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1.1 Substructure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09"/>
      <c r="B7" s="176"/>
      <c r="C7" s="111"/>
      <c r="D7" s="36"/>
      <c r="E7" s="108"/>
      <c r="F7" s="108"/>
      <c r="G7" s="103"/>
      <c r="H7" s="111"/>
      <c r="I7" s="36"/>
      <c r="J7" s="108"/>
      <c r="K7" s="108"/>
      <c r="L7" s="103"/>
      <c r="M7" s="111"/>
      <c r="N7" s="36"/>
      <c r="O7" s="108"/>
      <c r="P7" s="108"/>
      <c r="Q7" s="103"/>
      <c r="R7" s="111"/>
      <c r="S7" s="36"/>
      <c r="T7" s="108"/>
      <c r="U7" s="108"/>
      <c r="V7" s="103"/>
      <c r="W7" s="111"/>
      <c r="X7" s="36"/>
      <c r="Y7" s="108"/>
      <c r="Z7" s="108"/>
      <c r="AA7" s="103"/>
      <c r="AB7" s="111"/>
      <c r="AC7" s="36"/>
      <c r="AD7" s="108"/>
      <c r="AE7" s="108"/>
      <c r="AF7" s="103"/>
      <c r="AG7" s="111"/>
      <c r="AH7" s="36"/>
      <c r="AI7" s="108"/>
      <c r="AJ7" s="108"/>
      <c r="AK7" s="103"/>
      <c r="AL7" s="111"/>
      <c r="AM7" s="36"/>
      <c r="AN7" s="108"/>
      <c r="AO7" s="108"/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112" t="s">
        <v>254</v>
      </c>
      <c r="C8" s="113" t="n">
        <v>270</v>
      </c>
      <c r="D8" s="36" t="s">
        <v>116</v>
      </c>
      <c r="E8" s="108" t="n">
        <v>250</v>
      </c>
      <c r="F8" s="108" t="n">
        <f aca="false">IF(ISBLANK(C8),"",C8*E8)</f>
        <v>67500</v>
      </c>
      <c r="G8" s="103"/>
      <c r="H8" s="113" t="n">
        <v>270</v>
      </c>
      <c r="I8" s="36" t="s">
        <v>116</v>
      </c>
      <c r="J8" s="108" t="n">
        <v>125</v>
      </c>
      <c r="K8" s="108" t="n">
        <f aca="false">IF(ISBLANK(H8),"",H8*J8)</f>
        <v>33750</v>
      </c>
      <c r="L8" s="103"/>
      <c r="M8" s="113" t="n">
        <v>270</v>
      </c>
      <c r="N8" s="36" t="s">
        <v>116</v>
      </c>
      <c r="O8" s="108" t="n">
        <v>250</v>
      </c>
      <c r="P8" s="108" t="n">
        <f aca="false">IF(ISBLANK(M8),"",M8*O8)</f>
        <v>67500</v>
      </c>
      <c r="Q8" s="103"/>
      <c r="R8" s="113" t="n">
        <v>270</v>
      </c>
      <c r="S8" s="36" t="s">
        <v>116</v>
      </c>
      <c r="T8" s="108" t="n">
        <v>125</v>
      </c>
      <c r="U8" s="108" t="n">
        <f aca="false">IF(ISBLANK(R8),"",R8*T8)</f>
        <v>33750</v>
      </c>
      <c r="V8" s="103"/>
      <c r="W8" s="113"/>
      <c r="X8" s="36" t="s">
        <v>116</v>
      </c>
      <c r="Y8" s="108"/>
      <c r="Z8" s="108" t="str">
        <f aca="false">IF(ISBLANK(W8),"",W8*Y8)</f>
        <v/>
      </c>
      <c r="AA8" s="103"/>
      <c r="AB8" s="113"/>
      <c r="AC8" s="36" t="s">
        <v>116</v>
      </c>
      <c r="AD8" s="108"/>
      <c r="AE8" s="108" t="str">
        <f aca="false">IF(ISBLANK(AB8),"",AB8*AD8)</f>
        <v/>
      </c>
      <c r="AF8" s="103"/>
      <c r="AG8" s="113"/>
      <c r="AH8" s="36" t="s">
        <v>116</v>
      </c>
      <c r="AI8" s="108"/>
      <c r="AJ8" s="108" t="str">
        <f aca="false">IF(ISBLANK(AG8),"",AG8*AI8)</f>
        <v/>
      </c>
      <c r="AK8" s="103"/>
      <c r="AL8" s="113"/>
      <c r="AM8" s="36" t="s">
        <v>116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112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22.5" hidden="false" customHeight="true" outlineLevel="0" collapsed="false">
      <c r="A10" s="174" t="n">
        <f aca="false">IF(B10&gt;0,IF(C10&gt;0,MAX($A$5:A9)+1," ")," ")</f>
        <v>2</v>
      </c>
      <c r="B10" s="112" t="s">
        <v>255</v>
      </c>
      <c r="C10" s="113" t="n">
        <v>1</v>
      </c>
      <c r="D10" s="36" t="s">
        <v>209</v>
      </c>
      <c r="E10" s="108" t="n">
        <v>2500</v>
      </c>
      <c r="F10" s="108" t="n">
        <f aca="false">IF(ISBLANK(C10),"",C10*E10)</f>
        <v>2500</v>
      </c>
      <c r="G10" s="103"/>
      <c r="H10" s="113" t="n">
        <v>1</v>
      </c>
      <c r="I10" s="36" t="s">
        <v>209</v>
      </c>
      <c r="J10" s="108" t="n">
        <v>3500</v>
      </c>
      <c r="K10" s="108" t="n">
        <f aca="false">IF(ISBLANK(H10),"",H10*J10)</f>
        <v>3500</v>
      </c>
      <c r="L10" s="103"/>
      <c r="M10" s="113" t="n">
        <v>1</v>
      </c>
      <c r="N10" s="36" t="s">
        <v>209</v>
      </c>
      <c r="O10" s="108" t="n">
        <v>2500</v>
      </c>
      <c r="P10" s="108" t="n">
        <f aca="false">IF(ISBLANK(M10),"",M10*O10)</f>
        <v>2500</v>
      </c>
      <c r="Q10" s="103"/>
      <c r="R10" s="113" t="n">
        <v>1</v>
      </c>
      <c r="S10" s="36" t="s">
        <v>209</v>
      </c>
      <c r="T10" s="108" t="n">
        <v>3500</v>
      </c>
      <c r="U10" s="108" t="n">
        <f aca="false">IF(ISBLANK(R10),"",R10*T10)</f>
        <v>3500</v>
      </c>
      <c r="V10" s="103"/>
      <c r="W10" s="113"/>
      <c r="X10" s="36" t="s">
        <v>116</v>
      </c>
      <c r="Y10" s="108"/>
      <c r="Z10" s="108" t="str">
        <f aca="false">IF(ISBLANK(W10),"",W10*Y10)</f>
        <v/>
      </c>
      <c r="AA10" s="103"/>
      <c r="AB10" s="113"/>
      <c r="AC10" s="36" t="s">
        <v>116</v>
      </c>
      <c r="AD10" s="108"/>
      <c r="AE10" s="108" t="str">
        <f aca="false">IF(ISBLANK(AB10),"",AB10*AD10)</f>
        <v/>
      </c>
      <c r="AF10" s="103"/>
      <c r="AG10" s="113"/>
      <c r="AH10" s="36" t="s">
        <v>116</v>
      </c>
      <c r="AI10" s="108"/>
      <c r="AJ10" s="108" t="str">
        <f aca="false">IF(ISBLANK(AG10),"",AG10*AI10)</f>
        <v/>
      </c>
      <c r="AK10" s="103"/>
      <c r="AL10" s="113"/>
      <c r="AM10" s="36" t="s">
        <v>116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112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22.5" hidden="false" customHeight="true" outlineLevel="0" collapsed="false">
      <c r="A12" s="174" t="n">
        <f aca="false">IF(B12&gt;0,IF(C12&gt;0,MAX($A$5:A11)+1," ")," ")</f>
        <v>3</v>
      </c>
      <c r="B12" s="112" t="s">
        <v>256</v>
      </c>
      <c r="C12" s="113" t="n">
        <v>270</v>
      </c>
      <c r="D12" s="36" t="s">
        <v>116</v>
      </c>
      <c r="E12" s="108" t="n">
        <v>100</v>
      </c>
      <c r="F12" s="108" t="n">
        <f aca="false">IF(ISBLANK(C12),"",C12*E12)</f>
        <v>27000</v>
      </c>
      <c r="G12" s="103"/>
      <c r="H12" s="113" t="n">
        <v>270</v>
      </c>
      <c r="I12" s="36" t="s">
        <v>116</v>
      </c>
      <c r="J12" s="108" t="n">
        <v>90</v>
      </c>
      <c r="K12" s="108" t="n">
        <f aca="false">IF(ISBLANK(H12),"",H12*J12)</f>
        <v>24300</v>
      </c>
      <c r="L12" s="103"/>
      <c r="M12" s="113" t="n">
        <v>270</v>
      </c>
      <c r="N12" s="36" t="s">
        <v>116</v>
      </c>
      <c r="O12" s="108" t="n">
        <v>100</v>
      </c>
      <c r="P12" s="108" t="n">
        <f aca="false">IF(ISBLANK(M12),"",M12*O12)</f>
        <v>27000</v>
      </c>
      <c r="Q12" s="103"/>
      <c r="R12" s="113" t="n">
        <v>270</v>
      </c>
      <c r="S12" s="36" t="s">
        <v>116</v>
      </c>
      <c r="T12" s="108" t="n">
        <v>90</v>
      </c>
      <c r="U12" s="108" t="n">
        <f aca="false">IF(ISBLANK(R12),"",R12*T12)</f>
        <v>24300</v>
      </c>
      <c r="V12" s="103"/>
      <c r="W12" s="113"/>
      <c r="X12" s="36"/>
      <c r="Y12" s="108"/>
      <c r="Z12" s="108" t="str">
        <f aca="false">IF(ISBLANK(W12),"",W12*Y12)</f>
        <v/>
      </c>
      <c r="AA12" s="103"/>
      <c r="AB12" s="113"/>
      <c r="AC12" s="36"/>
      <c r="AD12" s="108"/>
      <c r="AE12" s="108" t="str">
        <f aca="false">IF(ISBLANK(AB12),"",AB12*AD12)</f>
        <v/>
      </c>
      <c r="AF12" s="103"/>
      <c r="AG12" s="113"/>
      <c r="AH12" s="36"/>
      <c r="AI12" s="108"/>
      <c r="AJ12" s="108" t="str">
        <f aca="false">IF(ISBLANK(AG12),"",AG12*AI12)</f>
        <v/>
      </c>
      <c r="AK12" s="103"/>
      <c r="AL12" s="113"/>
      <c r="AM12" s="36"/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09"/>
      <c r="B13" s="112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IF(B14&gt;0,IF(C14&gt;0,MAX($A$5:A12)+1," ")," ")</f>
        <v>4</v>
      </c>
      <c r="B14" s="112" t="s">
        <v>257</v>
      </c>
      <c r="C14" s="113" t="n">
        <v>1</v>
      </c>
      <c r="D14" s="36" t="s">
        <v>209</v>
      </c>
      <c r="E14" s="108" t="n">
        <v>2500</v>
      </c>
      <c r="F14" s="108" t="n">
        <f aca="false">IF(ISBLANK(C14),"",C14*E14)</f>
        <v>2500</v>
      </c>
      <c r="G14" s="103"/>
      <c r="H14" s="113" t="n">
        <v>1</v>
      </c>
      <c r="I14" s="36" t="s">
        <v>209</v>
      </c>
      <c r="J14" s="108" t="n">
        <v>2500</v>
      </c>
      <c r="K14" s="108" t="n">
        <f aca="false">IF(ISBLANK(H14),"",H14*J14)</f>
        <v>2500</v>
      </c>
      <c r="L14" s="103"/>
      <c r="M14" s="113" t="n">
        <v>1</v>
      </c>
      <c r="N14" s="36" t="s">
        <v>209</v>
      </c>
      <c r="O14" s="108" t="n">
        <v>2500</v>
      </c>
      <c r="P14" s="108" t="n">
        <f aca="false">IF(ISBLANK(M14),"",M14*O14)</f>
        <v>2500</v>
      </c>
      <c r="Q14" s="103"/>
      <c r="R14" s="113" t="n">
        <v>1</v>
      </c>
      <c r="S14" s="36" t="s">
        <v>209</v>
      </c>
      <c r="T14" s="108" t="n">
        <v>2500</v>
      </c>
      <c r="U14" s="108" t="n">
        <f aca="false">IF(ISBLANK(R14),"",R14*T14)</f>
        <v>2500</v>
      </c>
      <c r="V14" s="103"/>
      <c r="W14" s="113"/>
      <c r="X14" s="36"/>
      <c r="Y14" s="108"/>
      <c r="Z14" s="108" t="str">
        <f aca="false">IF(ISBLANK(W14),"",W14*Y14)</f>
        <v/>
      </c>
      <c r="AA14" s="103"/>
      <c r="AB14" s="113"/>
      <c r="AC14" s="36"/>
      <c r="AD14" s="108"/>
      <c r="AE14" s="108" t="str">
        <f aca="false">IF(ISBLANK(AB14),"",AB14*AD14)</f>
        <v/>
      </c>
      <c r="AF14" s="103"/>
      <c r="AG14" s="113"/>
      <c r="AH14" s="36"/>
      <c r="AI14" s="108"/>
      <c r="AJ14" s="108" t="str">
        <f aca="false">IF(ISBLANK(AG14),"",AG14*AI14)</f>
        <v/>
      </c>
      <c r="AK14" s="103"/>
      <c r="AL14" s="113"/>
      <c r="AM14" s="36"/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09"/>
      <c r="B15" s="112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 t="s">
        <v>116</v>
      </c>
      <c r="Y15" s="108"/>
      <c r="Z15" s="108"/>
      <c r="AA15" s="103"/>
      <c r="AB15" s="113"/>
      <c r="AC15" s="36" t="s">
        <v>116</v>
      </c>
      <c r="AD15" s="108"/>
      <c r="AE15" s="108"/>
      <c r="AF15" s="103"/>
      <c r="AG15" s="113"/>
      <c r="AH15" s="36" t="s">
        <v>116</v>
      </c>
      <c r="AI15" s="108"/>
      <c r="AJ15" s="108"/>
      <c r="AK15" s="103"/>
      <c r="AL15" s="113"/>
      <c r="AM15" s="36" t="s">
        <v>116</v>
      </c>
      <c r="AN15" s="108"/>
      <c r="AO15" s="108"/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112" t="s">
        <v>258</v>
      </c>
      <c r="C16" s="113" t="n">
        <v>270</v>
      </c>
      <c r="D16" s="36" t="s">
        <v>116</v>
      </c>
      <c r="E16" s="108" t="n">
        <v>25</v>
      </c>
      <c r="F16" s="108" t="n">
        <f aca="false">IF(ISBLANK(C16),"",C16*E16)</f>
        <v>6750</v>
      </c>
      <c r="G16" s="103"/>
      <c r="H16" s="113" t="n">
        <v>270</v>
      </c>
      <c r="I16" s="36" t="s">
        <v>116</v>
      </c>
      <c r="J16" s="108" t="n">
        <v>15</v>
      </c>
      <c r="K16" s="108" t="n">
        <f aca="false">IF(ISBLANK(H16),"",H16*J16)</f>
        <v>4050</v>
      </c>
      <c r="L16" s="103"/>
      <c r="M16" s="113" t="n">
        <v>270</v>
      </c>
      <c r="N16" s="36" t="s">
        <v>116</v>
      </c>
      <c r="O16" s="108" t="n">
        <v>25</v>
      </c>
      <c r="P16" s="108" t="n">
        <f aca="false">IF(ISBLANK(M16),"",M16*O16)</f>
        <v>6750</v>
      </c>
      <c r="Q16" s="103"/>
      <c r="R16" s="113" t="n">
        <v>270</v>
      </c>
      <c r="S16" s="36" t="s">
        <v>116</v>
      </c>
      <c r="T16" s="108" t="n">
        <v>15</v>
      </c>
      <c r="U16" s="108" t="n">
        <f aca="false">IF(ISBLANK(R16),"",R16*T16)</f>
        <v>4050</v>
      </c>
      <c r="V16" s="103"/>
      <c r="W16" s="113"/>
      <c r="X16" s="36" t="s">
        <v>259</v>
      </c>
      <c r="Y16" s="108"/>
      <c r="Z16" s="108"/>
      <c r="AA16" s="103"/>
      <c r="AB16" s="113"/>
      <c r="AC16" s="36" t="s">
        <v>259</v>
      </c>
      <c r="AD16" s="108"/>
      <c r="AE16" s="108"/>
      <c r="AF16" s="103"/>
      <c r="AG16" s="113"/>
      <c r="AH16" s="36" t="s">
        <v>259</v>
      </c>
      <c r="AI16" s="108"/>
      <c r="AJ16" s="108"/>
      <c r="AK16" s="103"/>
      <c r="AL16" s="113"/>
      <c r="AM16" s="36" t="s">
        <v>259</v>
      </c>
      <c r="AN16" s="108"/>
      <c r="AO16" s="108"/>
      <c r="AP16" s="103"/>
    </row>
    <row r="17" customFormat="false" ht="11.25" hidden="false" customHeight="true" outlineLevel="0" collapsed="false">
      <c r="A17" s="109"/>
      <c r="B17" s="112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IF(B18&gt;0,IF(C18&gt;0,MAX($A$5:A16)+1," ")," ")</f>
        <v>6</v>
      </c>
      <c r="B18" s="112" t="s">
        <v>260</v>
      </c>
      <c r="C18" s="113" t="n">
        <v>270</v>
      </c>
      <c r="D18" s="36" t="s">
        <v>116</v>
      </c>
      <c r="E18" s="108" t="n">
        <v>10</v>
      </c>
      <c r="F18" s="108" t="n">
        <f aca="false">IF(ISBLANK(C18),"",C18*E18)</f>
        <v>2700</v>
      </c>
      <c r="G18" s="103"/>
      <c r="H18" s="113" t="n">
        <v>270</v>
      </c>
      <c r="I18" s="36" t="s">
        <v>116</v>
      </c>
      <c r="J18" s="108" t="n">
        <v>5</v>
      </c>
      <c r="K18" s="108" t="n">
        <f aca="false">IF(ISBLANK(H18),"",H18*J18)</f>
        <v>1350</v>
      </c>
      <c r="L18" s="103"/>
      <c r="M18" s="113" t="n">
        <v>270</v>
      </c>
      <c r="N18" s="36" t="s">
        <v>116</v>
      </c>
      <c r="O18" s="108" t="n">
        <v>25</v>
      </c>
      <c r="P18" s="108" t="n">
        <f aca="false">IF(ISBLANK(M18),"",M18*O18)</f>
        <v>6750</v>
      </c>
      <c r="Q18" s="103"/>
      <c r="R18" s="113" t="n">
        <v>270</v>
      </c>
      <c r="S18" s="36" t="s">
        <v>116</v>
      </c>
      <c r="T18" s="108" t="n">
        <v>5</v>
      </c>
      <c r="U18" s="108" t="n">
        <f aca="false">IF(ISBLANK(R18),"",R18*T18)</f>
        <v>1350</v>
      </c>
      <c r="V18" s="103"/>
      <c r="W18" s="113"/>
      <c r="X18" s="36"/>
      <c r="Y18" s="108"/>
      <c r="Z18" s="108" t="str">
        <f aca="false">IF(ISBLANK(W18),"",W18*Y18)</f>
        <v/>
      </c>
      <c r="AA18" s="103"/>
      <c r="AB18" s="113"/>
      <c r="AC18" s="36"/>
      <c r="AD18" s="108"/>
      <c r="AE18" s="108" t="str">
        <f aca="false">IF(ISBLANK(AB18),"",AB18*AD18)</f>
        <v/>
      </c>
      <c r="AF18" s="103"/>
      <c r="AG18" s="113"/>
      <c r="AH18" s="36"/>
      <c r="AI18" s="108"/>
      <c r="AJ18" s="108" t="str">
        <f aca="false">IF(ISBLANK(AG18),"",AG18*AI18)</f>
        <v/>
      </c>
      <c r="AK18" s="103"/>
      <c r="AL18" s="113"/>
      <c r="AM18" s="36"/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09"/>
      <c r="B19" s="112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IF(B20&gt;0,IF(C20&gt;0,MAX($A$5:A18)+1," ")," ")</f>
        <v>7</v>
      </c>
      <c r="B20" s="112" t="s">
        <v>261</v>
      </c>
      <c r="C20" s="113" t="n">
        <v>270</v>
      </c>
      <c r="D20" s="36" t="s">
        <v>116</v>
      </c>
      <c r="E20" s="108" t="n">
        <v>15</v>
      </c>
      <c r="F20" s="108" t="n">
        <f aca="false">IF(ISBLANK(C20),"",C20*E20)</f>
        <v>4050</v>
      </c>
      <c r="G20" s="103"/>
      <c r="H20" s="113" t="n">
        <v>270</v>
      </c>
      <c r="I20" s="36" t="s">
        <v>116</v>
      </c>
      <c r="J20" s="108" t="n">
        <v>5</v>
      </c>
      <c r="K20" s="108" t="n">
        <f aca="false">IF(ISBLANK(H20),"",H20*J20)</f>
        <v>1350</v>
      </c>
      <c r="L20" s="103"/>
      <c r="M20" s="113" t="n">
        <v>270</v>
      </c>
      <c r="N20" s="36" t="s">
        <v>116</v>
      </c>
      <c r="O20" s="108" t="n">
        <v>25</v>
      </c>
      <c r="P20" s="108" t="n">
        <f aca="false">IF(ISBLANK(M20),"",M20*O20)</f>
        <v>6750</v>
      </c>
      <c r="Q20" s="103"/>
      <c r="R20" s="113" t="n">
        <v>270</v>
      </c>
      <c r="S20" s="36" t="s">
        <v>116</v>
      </c>
      <c r="T20" s="108" t="n">
        <v>5</v>
      </c>
      <c r="U20" s="108" t="n">
        <f aca="false">IF(ISBLANK(R20),"",R20*T20)</f>
        <v>1350</v>
      </c>
      <c r="V20" s="103"/>
      <c r="W20" s="113"/>
      <c r="X20" s="36"/>
      <c r="Y20" s="108"/>
      <c r="Z20" s="108" t="str">
        <f aca="false">IF(ISBLANK(W20),"",W20*Y20)</f>
        <v/>
      </c>
      <c r="AA20" s="103"/>
      <c r="AB20" s="113"/>
      <c r="AC20" s="36"/>
      <c r="AD20" s="108"/>
      <c r="AE20" s="108" t="str">
        <f aca="false">IF(ISBLANK(AB20),"",AB20*AD20)</f>
        <v/>
      </c>
      <c r="AF20" s="103"/>
      <c r="AG20" s="113"/>
      <c r="AH20" s="36"/>
      <c r="AI20" s="108"/>
      <c r="AJ20" s="108" t="str">
        <f aca="false">IF(ISBLANK(AG20),"",AG20*AI20)</f>
        <v/>
      </c>
      <c r="AK20" s="103"/>
      <c r="AL20" s="113"/>
      <c r="AM20" s="36"/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09"/>
      <c r="B21" s="112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112" t="s">
        <v>262</v>
      </c>
      <c r="C22" s="113" t="n">
        <v>1</v>
      </c>
      <c r="D22" s="36" t="s">
        <v>209</v>
      </c>
      <c r="E22" s="108" t="n">
        <v>2500</v>
      </c>
      <c r="F22" s="108" t="n">
        <f aca="false">IF(ISBLANK(C22),"",C22*E22)</f>
        <v>2500</v>
      </c>
      <c r="G22" s="103"/>
      <c r="H22" s="113" t="n">
        <v>1</v>
      </c>
      <c r="I22" s="36" t="s">
        <v>209</v>
      </c>
      <c r="J22" s="108" t="n">
        <v>2000</v>
      </c>
      <c r="K22" s="108" t="n">
        <f aca="false">IF(ISBLANK(H22),"",H22*J22)</f>
        <v>2000</v>
      </c>
      <c r="L22" s="103"/>
      <c r="M22" s="113" t="n">
        <v>1</v>
      </c>
      <c r="N22" s="36" t="s">
        <v>209</v>
      </c>
      <c r="O22" s="108" t="n">
        <v>5000</v>
      </c>
      <c r="P22" s="108" t="n">
        <f aca="false">IF(ISBLANK(M22),"",M22*O22)</f>
        <v>5000</v>
      </c>
      <c r="Q22" s="103"/>
      <c r="R22" s="113" t="n">
        <v>1</v>
      </c>
      <c r="S22" s="36" t="s">
        <v>209</v>
      </c>
      <c r="T22" s="108" t="n">
        <v>2000</v>
      </c>
      <c r="U22" s="108" t="n">
        <f aca="false">IF(ISBLANK(R22),"",R22*T22)</f>
        <v>2000</v>
      </c>
      <c r="V22" s="103"/>
      <c r="W22" s="113"/>
      <c r="X22" s="36"/>
      <c r="Y22" s="108"/>
      <c r="Z22" s="108" t="str">
        <f aca="false">IF(ISBLANK(W22),"",W22*Y22)</f>
        <v/>
      </c>
      <c r="AA22" s="103"/>
      <c r="AB22" s="113"/>
      <c r="AC22" s="36"/>
      <c r="AD22" s="108"/>
      <c r="AE22" s="108" t="str">
        <f aca="false">IF(ISBLANK(AB22),"",AB22*AD22)</f>
        <v/>
      </c>
      <c r="AF22" s="103"/>
      <c r="AG22" s="113"/>
      <c r="AH22" s="36"/>
      <c r="AI22" s="108"/>
      <c r="AJ22" s="108" t="str">
        <f aca="false">IF(ISBLANK(AG22),"",AG22*AI22)</f>
        <v/>
      </c>
      <c r="AK22" s="103"/>
      <c r="AL22" s="113"/>
      <c r="AM22" s="36"/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09"/>
      <c r="B23" s="112"/>
      <c r="C23" s="113"/>
      <c r="D23" s="36"/>
      <c r="E23" s="108"/>
      <c r="F23" s="108"/>
      <c r="G23" s="103"/>
      <c r="H23" s="113"/>
      <c r="I23" s="36"/>
      <c r="J23" s="108"/>
      <c r="K23" s="108"/>
      <c r="L23" s="103"/>
      <c r="M23" s="113"/>
      <c r="N23" s="36"/>
      <c r="O23" s="108"/>
      <c r="P23" s="108"/>
      <c r="Q23" s="103"/>
      <c r="R23" s="113"/>
      <c r="S23" s="36"/>
      <c r="T23" s="108"/>
      <c r="U23" s="108"/>
      <c r="V23" s="103"/>
      <c r="W23" s="113"/>
      <c r="X23" s="36" t="s">
        <v>116</v>
      </c>
      <c r="Y23" s="108"/>
      <c r="Z23" s="108"/>
      <c r="AA23" s="103"/>
      <c r="AB23" s="113"/>
      <c r="AC23" s="36" t="s">
        <v>116</v>
      </c>
      <c r="AD23" s="108"/>
      <c r="AE23" s="108"/>
      <c r="AF23" s="103"/>
      <c r="AG23" s="113"/>
      <c r="AH23" s="36" t="s">
        <v>116</v>
      </c>
      <c r="AI23" s="108"/>
      <c r="AJ23" s="108"/>
      <c r="AK23" s="103"/>
      <c r="AL23" s="113"/>
      <c r="AM23" s="36" t="s">
        <v>116</v>
      </c>
      <c r="AN23" s="108"/>
      <c r="AO23" s="108"/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112" t="s">
        <v>263</v>
      </c>
      <c r="C24" s="113" t="n">
        <v>1</v>
      </c>
      <c r="D24" s="36" t="s">
        <v>209</v>
      </c>
      <c r="E24" s="108" t="n">
        <v>2500</v>
      </c>
      <c r="F24" s="108" t="n">
        <f aca="false">IF(ISBLANK(C24),"",C24*E24)</f>
        <v>2500</v>
      </c>
      <c r="G24" s="103"/>
      <c r="H24" s="113" t="n">
        <v>1</v>
      </c>
      <c r="I24" s="36" t="s">
        <v>209</v>
      </c>
      <c r="J24" s="108" t="n">
        <v>2000</v>
      </c>
      <c r="K24" s="108" t="n">
        <f aca="false">IF(ISBLANK(H24),"",H24*J24)</f>
        <v>2000</v>
      </c>
      <c r="L24" s="103"/>
      <c r="M24" s="113" t="n">
        <v>1</v>
      </c>
      <c r="N24" s="36" t="s">
        <v>209</v>
      </c>
      <c r="O24" s="108" t="n">
        <v>5000</v>
      </c>
      <c r="P24" s="108" t="n">
        <f aca="false">IF(ISBLANK(M24),"",M24*O24)</f>
        <v>5000</v>
      </c>
      <c r="Q24" s="103"/>
      <c r="R24" s="113" t="n">
        <v>1</v>
      </c>
      <c r="S24" s="36" t="s">
        <v>209</v>
      </c>
      <c r="T24" s="108" t="n">
        <v>2000</v>
      </c>
      <c r="U24" s="108" t="n">
        <f aca="false">IF(ISBLANK(R24),"",R24*T24)</f>
        <v>2000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09"/>
      <c r="B25" s="112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 t="s">
        <v>116</v>
      </c>
      <c r="Y25" s="108"/>
      <c r="Z25" s="108"/>
      <c r="AA25" s="103"/>
      <c r="AB25" s="113"/>
      <c r="AC25" s="36" t="s">
        <v>116</v>
      </c>
      <c r="AD25" s="108"/>
      <c r="AE25" s="108"/>
      <c r="AF25" s="103"/>
      <c r="AG25" s="113"/>
      <c r="AH25" s="36" t="s">
        <v>116</v>
      </c>
      <c r="AI25" s="108"/>
      <c r="AJ25" s="108"/>
      <c r="AK25" s="103"/>
      <c r="AL25" s="113"/>
      <c r="AM25" s="36" t="s">
        <v>116</v>
      </c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112" t="s">
        <v>264</v>
      </c>
      <c r="C26" s="113" t="n">
        <v>1</v>
      </c>
      <c r="D26" s="36" t="s">
        <v>209</v>
      </c>
      <c r="E26" s="108" t="n">
        <v>1500</v>
      </c>
      <c r="F26" s="108" t="n">
        <f aca="false">IF(ISBLANK(C26),"",C26*E26)</f>
        <v>1500</v>
      </c>
      <c r="G26" s="103"/>
      <c r="H26" s="113" t="n">
        <v>1</v>
      </c>
      <c r="I26" s="36" t="s">
        <v>209</v>
      </c>
      <c r="J26" s="108" t="n">
        <v>1000</v>
      </c>
      <c r="K26" s="108" t="n">
        <f aca="false">IF(ISBLANK(H26),"",H26*J26)</f>
        <v>1000</v>
      </c>
      <c r="L26" s="103"/>
      <c r="M26" s="113" t="n">
        <v>1</v>
      </c>
      <c r="N26" s="36" t="s">
        <v>209</v>
      </c>
      <c r="O26" s="108" t="n">
        <v>5000</v>
      </c>
      <c r="P26" s="108" t="n">
        <f aca="false">IF(ISBLANK(M26),"",M26*O26)</f>
        <v>5000</v>
      </c>
      <c r="Q26" s="103"/>
      <c r="R26" s="113" t="n">
        <v>1</v>
      </c>
      <c r="S26" s="36" t="s">
        <v>209</v>
      </c>
      <c r="T26" s="108" t="n">
        <v>1000</v>
      </c>
      <c r="U26" s="108" t="n">
        <f aca="false">IF(ISBLANK(R26),"",R26*T26)</f>
        <v>1000</v>
      </c>
      <c r="V26" s="103"/>
      <c r="W26" s="113"/>
      <c r="X26" s="36"/>
      <c r="Y26" s="108"/>
      <c r="Z26" s="108" t="str">
        <f aca="false">IF(ISBLANK(W26),"",W26*Y26)</f>
        <v/>
      </c>
      <c r="AA26" s="103"/>
      <c r="AB26" s="113"/>
      <c r="AC26" s="36"/>
      <c r="AD26" s="108"/>
      <c r="AE26" s="108" t="str">
        <f aca="false">IF(ISBLANK(AB26),"",AB26*AD26)</f>
        <v/>
      </c>
      <c r="AF26" s="103"/>
      <c r="AG26" s="113"/>
      <c r="AH26" s="36"/>
      <c r="AI26" s="108"/>
      <c r="AJ26" s="108" t="str">
        <f aca="false">IF(ISBLANK(AG26),"",AG26*AI26)</f>
        <v/>
      </c>
      <c r="AK26" s="103"/>
      <c r="AL26" s="113"/>
      <c r="AM26" s="36"/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112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112" t="s">
        <v>265</v>
      </c>
      <c r="C28" s="113" t="n">
        <v>270</v>
      </c>
      <c r="D28" s="36" t="s">
        <v>116</v>
      </c>
      <c r="E28" s="108" t="n">
        <v>5</v>
      </c>
      <c r="F28" s="108" t="n">
        <f aca="false">IF(ISBLANK(C28),"",C28*E28)</f>
        <v>1350</v>
      </c>
      <c r="G28" s="103"/>
      <c r="H28" s="113" t="n">
        <v>270</v>
      </c>
      <c r="I28" s="36" t="s">
        <v>116</v>
      </c>
      <c r="J28" s="108" t="n">
        <v>7</v>
      </c>
      <c r="K28" s="108" t="n">
        <f aca="false">IF(ISBLANK(H28),"",H28*J28)</f>
        <v>1890</v>
      </c>
      <c r="L28" s="103"/>
      <c r="M28" s="113" t="n">
        <v>270</v>
      </c>
      <c r="N28" s="36" t="s">
        <v>116</v>
      </c>
      <c r="O28" s="108" t="n">
        <v>5</v>
      </c>
      <c r="P28" s="108" t="n">
        <f aca="false">IF(ISBLANK(M28),"",M28*O28)</f>
        <v>1350</v>
      </c>
      <c r="Q28" s="103"/>
      <c r="R28" s="113" t="n">
        <v>270</v>
      </c>
      <c r="S28" s="36" t="s">
        <v>116</v>
      </c>
      <c r="T28" s="108" t="n">
        <v>7</v>
      </c>
      <c r="U28" s="108" t="n">
        <f aca="false">IF(ISBLANK(R28),"",R28*T28)</f>
        <v>1890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09"/>
      <c r="B29" s="112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IF(B30&gt;0,IF(C30&gt;0,MAX($A$5:A28)+1," ")," ")</f>
        <v>12</v>
      </c>
      <c r="B30" s="112" t="s">
        <v>266</v>
      </c>
      <c r="C30" s="113" t="n">
        <v>1</v>
      </c>
      <c r="D30" s="36" t="s">
        <v>209</v>
      </c>
      <c r="E30" s="108" t="n">
        <v>5</v>
      </c>
      <c r="F30" s="108" t="n">
        <f aca="false">IF(ISBLANK(C30),"",C30*E30)</f>
        <v>5</v>
      </c>
      <c r="G30" s="103"/>
      <c r="H30" s="113" t="n">
        <v>1</v>
      </c>
      <c r="I30" s="36" t="s">
        <v>209</v>
      </c>
      <c r="J30" s="108" t="n">
        <v>7</v>
      </c>
      <c r="K30" s="108" t="n">
        <f aca="false">IF(ISBLANK(H30),"",H30*J30)</f>
        <v>7</v>
      </c>
      <c r="L30" s="103"/>
      <c r="M30" s="113" t="n">
        <v>1</v>
      </c>
      <c r="N30" s="36" t="s">
        <v>209</v>
      </c>
      <c r="O30" s="108" t="n">
        <v>5</v>
      </c>
      <c r="P30" s="108" t="n">
        <f aca="false">IF(ISBLANK(M30),"",M30*O30)</f>
        <v>5</v>
      </c>
      <c r="Q30" s="103"/>
      <c r="R30" s="113" t="n">
        <v>1</v>
      </c>
      <c r="S30" s="36" t="s">
        <v>209</v>
      </c>
      <c r="T30" s="108" t="n">
        <v>7</v>
      </c>
      <c r="U30" s="108" t="n">
        <f aca="false">IF(ISBLANK(R30),"",R30*T30)</f>
        <v>7</v>
      </c>
      <c r="V30" s="103"/>
      <c r="W30" s="113"/>
      <c r="X30" s="36" t="s">
        <v>259</v>
      </c>
      <c r="Y30" s="108"/>
      <c r="Z30" s="108" t="str">
        <f aca="false">IF(ISBLANK(W30),"",W30*Y30)</f>
        <v/>
      </c>
      <c r="AA30" s="103"/>
      <c r="AB30" s="113"/>
      <c r="AC30" s="36" t="s">
        <v>259</v>
      </c>
      <c r="AD30" s="108"/>
      <c r="AE30" s="108" t="str">
        <f aca="false">IF(ISBLANK(AB30),"",AB30*AD30)</f>
        <v/>
      </c>
      <c r="AF30" s="103"/>
      <c r="AG30" s="113"/>
      <c r="AH30" s="36" t="s">
        <v>259</v>
      </c>
      <c r="AI30" s="108"/>
      <c r="AJ30" s="108" t="str">
        <f aca="false">IF(ISBLANK(AG30),"",AG30*AI30)</f>
        <v/>
      </c>
      <c r="AK30" s="103"/>
      <c r="AL30" s="113"/>
      <c r="AM30" s="36" t="s">
        <v>259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112"/>
      <c r="C31" s="113"/>
      <c r="D31" s="36"/>
      <c r="E31" s="108"/>
      <c r="F31" s="108"/>
      <c r="G31" s="103"/>
      <c r="H31" s="113"/>
      <c r="I31" s="36"/>
      <c r="J31" s="108"/>
      <c r="K31" s="108"/>
      <c r="L31" s="103"/>
      <c r="M31" s="113"/>
      <c r="N31" s="36"/>
      <c r="O31" s="108"/>
      <c r="P31" s="108"/>
      <c r="Q31" s="103"/>
      <c r="R31" s="113"/>
      <c r="S31" s="36"/>
      <c r="T31" s="108"/>
      <c r="U31" s="108"/>
      <c r="V31" s="103"/>
      <c r="W31" s="113"/>
      <c r="X31" s="36"/>
      <c r="Y31" s="108"/>
      <c r="Z31" s="108"/>
      <c r="AA31" s="103"/>
      <c r="AB31" s="113"/>
      <c r="AC31" s="36"/>
      <c r="AD31" s="108"/>
      <c r="AE31" s="108"/>
      <c r="AF31" s="103"/>
      <c r="AG31" s="113"/>
      <c r="AH31" s="36"/>
      <c r="AI31" s="108"/>
      <c r="AJ31" s="108"/>
      <c r="AK31" s="103"/>
      <c r="AL31" s="113"/>
      <c r="AM31" s="36"/>
      <c r="AN31" s="108"/>
      <c r="AO31" s="108"/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112" t="s">
        <v>267</v>
      </c>
      <c r="C32" s="113" t="n">
        <v>270</v>
      </c>
      <c r="D32" s="36" t="s">
        <v>116</v>
      </c>
      <c r="E32" s="108" t="n">
        <v>5</v>
      </c>
      <c r="F32" s="108" t="n">
        <f aca="false">IF(ISBLANK(C32),"",C32*E32)</f>
        <v>1350</v>
      </c>
      <c r="G32" s="103"/>
      <c r="H32" s="113" t="n">
        <v>270</v>
      </c>
      <c r="I32" s="36" t="s">
        <v>116</v>
      </c>
      <c r="J32" s="108" t="n">
        <v>7</v>
      </c>
      <c r="K32" s="108" t="n">
        <f aca="false">IF(ISBLANK(H32),"",H32*J32)</f>
        <v>1890</v>
      </c>
      <c r="L32" s="103"/>
      <c r="M32" s="113" t="n">
        <v>270</v>
      </c>
      <c r="N32" s="36" t="s">
        <v>116</v>
      </c>
      <c r="O32" s="108" t="n">
        <v>5</v>
      </c>
      <c r="P32" s="108" t="n">
        <f aca="false">IF(ISBLANK(M32),"",M32*O32)</f>
        <v>1350</v>
      </c>
      <c r="Q32" s="103"/>
      <c r="R32" s="113" t="n">
        <v>270</v>
      </c>
      <c r="S32" s="36" t="s">
        <v>116</v>
      </c>
      <c r="T32" s="108" t="n">
        <v>7</v>
      </c>
      <c r="U32" s="108" t="n">
        <f aca="false">IF(ISBLANK(R32),"",R32*T32)</f>
        <v>1890</v>
      </c>
      <c r="V32" s="103"/>
      <c r="W32" s="113"/>
      <c r="X32" s="36"/>
      <c r="Y32" s="108"/>
      <c r="Z32" s="108" t="str">
        <f aca="false">IF(ISBLANK(W32),"",W32*Y32)</f>
        <v/>
      </c>
      <c r="AA32" s="103"/>
      <c r="AB32" s="113"/>
      <c r="AC32" s="36"/>
      <c r="AD32" s="108"/>
      <c r="AE32" s="108" t="str">
        <f aca="false">IF(ISBLANK(AB32),"",AB32*AD32)</f>
        <v/>
      </c>
      <c r="AF32" s="103"/>
      <c r="AG32" s="113"/>
      <c r="AH32" s="36"/>
      <c r="AI32" s="108"/>
      <c r="AJ32" s="108" t="str">
        <f aca="false">IF(ISBLANK(AG32),"",AG32*AI32)</f>
        <v/>
      </c>
      <c r="AK32" s="103"/>
      <c r="AL32" s="113"/>
      <c r="AM32" s="36"/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112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34.5" hidden="false" customHeight="true" outlineLevel="0" collapsed="false">
      <c r="A34" s="174" t="n">
        <f aca="false">IF(B34&gt;0,IF(C34&gt;0,MAX($A$5:A33)+1," ")," ")</f>
        <v>14</v>
      </c>
      <c r="B34" s="112" t="s">
        <v>268</v>
      </c>
      <c r="C34" s="113" t="n">
        <v>50</v>
      </c>
      <c r="D34" s="36" t="s">
        <v>269</v>
      </c>
      <c r="E34" s="108" t="n">
        <v>175</v>
      </c>
      <c r="F34" s="108" t="n">
        <f aca="false">IF(ISBLANK(C34),"",C34*E34)</f>
        <v>8750</v>
      </c>
      <c r="G34" s="103"/>
      <c r="H34" s="113" t="n">
        <v>50</v>
      </c>
      <c r="I34" s="36" t="s">
        <v>269</v>
      </c>
      <c r="J34" s="108" t="n">
        <v>200</v>
      </c>
      <c r="K34" s="108" t="n">
        <f aca="false">IF(ISBLANK(H34),"",H34*J34)</f>
        <v>10000</v>
      </c>
      <c r="L34" s="103"/>
      <c r="M34" s="113" t="n">
        <v>50</v>
      </c>
      <c r="N34" s="36" t="s">
        <v>269</v>
      </c>
      <c r="O34" s="108" t="n">
        <v>175</v>
      </c>
      <c r="P34" s="108" t="n">
        <f aca="false">IF(ISBLANK(M34),"",M34*O34)</f>
        <v>8750</v>
      </c>
      <c r="Q34" s="103"/>
      <c r="R34" s="113" t="n">
        <v>50</v>
      </c>
      <c r="S34" s="36" t="s">
        <v>269</v>
      </c>
      <c r="T34" s="108" t="n">
        <v>175</v>
      </c>
      <c r="U34" s="108" t="n">
        <f aca="false">IF(ISBLANK(R34),"",R34*T34)</f>
        <v>8750</v>
      </c>
      <c r="V34" s="103"/>
      <c r="W34" s="113"/>
      <c r="X34" s="36" t="s">
        <v>116</v>
      </c>
      <c r="Y34" s="108"/>
      <c r="Z34" s="108"/>
      <c r="AA34" s="103"/>
      <c r="AB34" s="113"/>
      <c r="AC34" s="36" t="s">
        <v>116</v>
      </c>
      <c r="AD34" s="108"/>
      <c r="AE34" s="108"/>
      <c r="AF34" s="103"/>
      <c r="AG34" s="113"/>
      <c r="AH34" s="36" t="s">
        <v>116</v>
      </c>
      <c r="AI34" s="108"/>
      <c r="AJ34" s="108"/>
      <c r="AK34" s="103"/>
      <c r="AL34" s="113"/>
      <c r="AM34" s="36" t="s">
        <v>116</v>
      </c>
      <c r="AN34" s="108"/>
      <c r="AO34" s="108"/>
      <c r="AP34" s="103"/>
    </row>
    <row r="35" customFormat="false" ht="11.25" hidden="false" customHeight="true" outlineLevel="0" collapsed="false">
      <c r="A35" s="109"/>
      <c r="B35" s="112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IF(B36&gt;0,IF(C36&gt;0,MAX($A$5:A34)+1," ")," ")</f>
        <v>15</v>
      </c>
      <c r="B36" s="112" t="s">
        <v>270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90</v>
      </c>
      <c r="K36" s="108" t="n">
        <f aca="false">IF(ISBLANK(H36),"",H36*J36)</f>
        <v>900</v>
      </c>
      <c r="L36" s="103"/>
      <c r="M36" s="113" t="n">
        <v>10</v>
      </c>
      <c r="N36" s="36" t="s">
        <v>116</v>
      </c>
      <c r="O36" s="108" t="n">
        <v>50</v>
      </c>
      <c r="P36" s="108" t="n">
        <f aca="false">IF(ISBLANK(M36),"",M36*O36)</f>
        <v>500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09"/>
      <c r="B37" s="112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22.5" hidden="false" customHeight="true" outlineLevel="0" collapsed="false">
      <c r="A38" s="174" t="n">
        <f aca="false">IF(B38&gt;0,IF(C38&gt;0,MAX($A$5:A37)+1," ")," ")</f>
        <v>16</v>
      </c>
      <c r="B38" s="112" t="s">
        <v>271</v>
      </c>
      <c r="C38" s="113" t="n">
        <v>50</v>
      </c>
      <c r="D38" s="36" t="s">
        <v>269</v>
      </c>
      <c r="E38" s="108" t="n">
        <v>75</v>
      </c>
      <c r="F38" s="108" t="n">
        <f aca="false">IF(ISBLANK(C38),"",C38*E38)</f>
        <v>3750</v>
      </c>
      <c r="G38" s="103"/>
      <c r="H38" s="113" t="n">
        <v>50</v>
      </c>
      <c r="I38" s="36" t="s">
        <v>269</v>
      </c>
      <c r="J38" s="108" t="n">
        <v>50</v>
      </c>
      <c r="K38" s="108" t="n">
        <f aca="false">IF(ISBLANK(H38),"",H38*J38)</f>
        <v>2500</v>
      </c>
      <c r="L38" s="103"/>
      <c r="M38" s="113" t="n">
        <v>50</v>
      </c>
      <c r="N38" s="36" t="s">
        <v>269</v>
      </c>
      <c r="O38" s="108" t="n">
        <v>75</v>
      </c>
      <c r="P38" s="108" t="n">
        <f aca="false">IF(ISBLANK(M38),"",M38*O38)</f>
        <v>3750</v>
      </c>
      <c r="Q38" s="103"/>
      <c r="R38" s="113" t="n">
        <v>50</v>
      </c>
      <c r="S38" s="36" t="s">
        <v>269</v>
      </c>
      <c r="T38" s="108" t="n">
        <v>75</v>
      </c>
      <c r="U38" s="108" t="n">
        <f aca="false">IF(ISBLANK(R38),"",R38*T38)</f>
        <v>3750</v>
      </c>
      <c r="V38" s="103"/>
      <c r="W38" s="113"/>
      <c r="X38" s="36" t="s">
        <v>272</v>
      </c>
      <c r="Y38" s="108"/>
      <c r="Z38" s="108"/>
      <c r="AA38" s="103"/>
      <c r="AB38" s="113"/>
      <c r="AC38" s="36" t="s">
        <v>272</v>
      </c>
      <c r="AD38" s="108"/>
      <c r="AE38" s="108"/>
      <c r="AF38" s="103"/>
      <c r="AG38" s="113"/>
      <c r="AH38" s="36" t="s">
        <v>272</v>
      </c>
      <c r="AI38" s="108"/>
      <c r="AJ38" s="108"/>
      <c r="AK38" s="103"/>
      <c r="AL38" s="113"/>
      <c r="AM38" s="36" t="s">
        <v>272</v>
      </c>
      <c r="AN38" s="108"/>
      <c r="AO38" s="108"/>
      <c r="AP38" s="103"/>
    </row>
    <row r="39" customFormat="false" ht="11.25" hidden="false" customHeight="true" outlineLevel="0" collapsed="false">
      <c r="A39" s="109"/>
      <c r="B39" s="112"/>
      <c r="C39" s="113"/>
      <c r="D39" s="36"/>
      <c r="E39" s="108"/>
      <c r="F39" s="108"/>
      <c r="G39" s="103"/>
      <c r="H39" s="113"/>
      <c r="I39" s="36"/>
      <c r="J39" s="108"/>
      <c r="K39" s="108"/>
      <c r="L39" s="103"/>
      <c r="M39" s="113"/>
      <c r="N39" s="36"/>
      <c r="O39" s="108"/>
      <c r="P39" s="108"/>
      <c r="Q39" s="103"/>
      <c r="R39" s="113"/>
      <c r="S39" s="36"/>
      <c r="T39" s="108"/>
      <c r="U39" s="108"/>
      <c r="V39" s="103"/>
      <c r="W39" s="113"/>
      <c r="X39" s="36"/>
      <c r="Y39" s="108"/>
      <c r="Z39" s="108"/>
      <c r="AA39" s="103"/>
      <c r="AB39" s="113"/>
      <c r="AC39" s="36"/>
      <c r="AD39" s="108"/>
      <c r="AE39" s="108"/>
      <c r="AF39" s="103"/>
      <c r="AG39" s="113"/>
      <c r="AH39" s="36"/>
      <c r="AI39" s="108"/>
      <c r="AJ39" s="108"/>
      <c r="AK39" s="103"/>
      <c r="AL39" s="113"/>
      <c r="AM39" s="36"/>
      <c r="AN39" s="108"/>
      <c r="AO39" s="108"/>
      <c r="AP39" s="103"/>
    </row>
    <row r="40" customFormat="false" ht="11.25" hidden="false" customHeight="true" outlineLevel="0" collapsed="false">
      <c r="A40" s="174" t="n">
        <f aca="false">IF(B40&gt;0,IF(C40&gt;0,MAX($A$5:A38)+1," ")," ")</f>
        <v>17</v>
      </c>
      <c r="B40" s="112" t="s">
        <v>273</v>
      </c>
      <c r="C40" s="113" t="n">
        <v>50</v>
      </c>
      <c r="D40" s="36" t="s">
        <v>269</v>
      </c>
      <c r="E40" s="108" t="n">
        <v>25</v>
      </c>
      <c r="F40" s="108" t="n">
        <f aca="false">IF(ISBLANK(C40),"",C40*E40)</f>
        <v>1250</v>
      </c>
      <c r="G40" s="103"/>
      <c r="H40" s="113" t="n">
        <v>50</v>
      </c>
      <c r="I40" s="36" t="s">
        <v>269</v>
      </c>
      <c r="J40" s="108" t="n">
        <v>20</v>
      </c>
      <c r="K40" s="108" t="n">
        <f aca="false">IF(ISBLANK(H40),"",H40*J40)</f>
        <v>1000</v>
      </c>
      <c r="L40" s="103"/>
      <c r="M40" s="113" t="n">
        <v>50</v>
      </c>
      <c r="N40" s="36" t="s">
        <v>269</v>
      </c>
      <c r="O40" s="108" t="n">
        <v>25</v>
      </c>
      <c r="P40" s="108" t="n">
        <f aca="false">IF(ISBLANK(M40),"",M40*O40)</f>
        <v>1250</v>
      </c>
      <c r="Q40" s="103"/>
      <c r="R40" s="113" t="n">
        <v>50</v>
      </c>
      <c r="S40" s="36" t="s">
        <v>269</v>
      </c>
      <c r="T40" s="108" t="n">
        <v>25</v>
      </c>
      <c r="U40" s="108" t="n">
        <f aca="false">IF(ISBLANK(R40),"",R40*T40)</f>
        <v>1250</v>
      </c>
      <c r="V40" s="103"/>
      <c r="W40" s="113"/>
      <c r="X40" s="36" t="s">
        <v>272</v>
      </c>
      <c r="Y40" s="108"/>
      <c r="Z40" s="108"/>
      <c r="AA40" s="103"/>
      <c r="AB40" s="113"/>
      <c r="AC40" s="36" t="s">
        <v>272</v>
      </c>
      <c r="AD40" s="108"/>
      <c r="AE40" s="108"/>
      <c r="AF40" s="103"/>
      <c r="AG40" s="113"/>
      <c r="AH40" s="36" t="s">
        <v>272</v>
      </c>
      <c r="AI40" s="108"/>
      <c r="AJ40" s="108"/>
      <c r="AK40" s="103"/>
      <c r="AL40" s="113"/>
      <c r="AM40" s="36" t="s">
        <v>272</v>
      </c>
      <c r="AN40" s="108"/>
      <c r="AO40" s="108"/>
      <c r="AP40" s="103"/>
    </row>
    <row r="41" customFormat="false" ht="11.25" hidden="false" customHeight="true" outlineLevel="0" collapsed="false">
      <c r="A41" s="109"/>
      <c r="B41" s="112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IF(B42&gt;0,IF(C42&gt;0,MAX($A$5:A40)+1," ")," ")</f>
        <v>18</v>
      </c>
      <c r="B42" s="112" t="s">
        <v>274</v>
      </c>
      <c r="C42" s="113" t="n">
        <v>50</v>
      </c>
      <c r="D42" s="36" t="s">
        <v>269</v>
      </c>
      <c r="E42" s="108" t="n">
        <v>150</v>
      </c>
      <c r="F42" s="108" t="n">
        <f aca="false">IF(ISBLANK(C42),"",C42*E42)</f>
        <v>7500</v>
      </c>
      <c r="G42" s="103"/>
      <c r="H42" s="113" t="n">
        <v>50</v>
      </c>
      <c r="I42" s="36" t="s">
        <v>269</v>
      </c>
      <c r="J42" s="108" t="n">
        <v>150</v>
      </c>
      <c r="K42" s="108" t="n">
        <f aca="false">IF(ISBLANK(H42),"",H42*J42)</f>
        <v>7500</v>
      </c>
      <c r="L42" s="103"/>
      <c r="M42" s="113" t="n">
        <v>50</v>
      </c>
      <c r="N42" s="36" t="s">
        <v>269</v>
      </c>
      <c r="O42" s="108" t="n">
        <v>225</v>
      </c>
      <c r="P42" s="108" t="n">
        <f aca="false">IF(ISBLANK(M42),"",M42*O42)</f>
        <v>11250</v>
      </c>
      <c r="Q42" s="103"/>
      <c r="R42" s="113" t="n">
        <v>50</v>
      </c>
      <c r="S42" s="36" t="s">
        <v>269</v>
      </c>
      <c r="T42" s="108" t="n">
        <v>150</v>
      </c>
      <c r="U42" s="108" t="n">
        <f aca="false">IF(ISBLANK(R42),"",R42*T42)</f>
        <v>7500</v>
      </c>
      <c r="V42" s="103"/>
      <c r="W42" s="113"/>
      <c r="X42" s="36" t="s">
        <v>272</v>
      </c>
      <c r="Y42" s="108"/>
      <c r="Z42" s="108" t="str">
        <f aca="false">IF(ISBLANK(W42),"",W42*Y42)</f>
        <v/>
      </c>
      <c r="AA42" s="103"/>
      <c r="AB42" s="113"/>
      <c r="AC42" s="36" t="s">
        <v>272</v>
      </c>
      <c r="AD42" s="108"/>
      <c r="AE42" s="108" t="str">
        <f aca="false">IF(ISBLANK(AB42),"",AB42*AD42)</f>
        <v/>
      </c>
      <c r="AF42" s="103"/>
      <c r="AG42" s="113"/>
      <c r="AH42" s="36" t="s">
        <v>272</v>
      </c>
      <c r="AI42" s="108"/>
      <c r="AJ42" s="108" t="str">
        <f aca="false">IF(ISBLANK(AG42),"",AG42*AI42)</f>
        <v/>
      </c>
      <c r="AK42" s="103"/>
      <c r="AL42" s="113"/>
      <c r="AM42" s="36" t="s">
        <v>272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09"/>
      <c r="B43" s="112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IF(B44&gt;0,IF(C44&gt;0,MAX($A$5:A42)+1," ")," ")</f>
        <v>19</v>
      </c>
      <c r="B44" s="112" t="s">
        <v>275</v>
      </c>
      <c r="C44" s="113" t="n">
        <v>50</v>
      </c>
      <c r="D44" s="36" t="s">
        <v>269</v>
      </c>
      <c r="E44" s="108" t="n">
        <v>125</v>
      </c>
      <c r="F44" s="108" t="n">
        <f aca="false">IF(ISBLANK(C44),"",C44*E44)</f>
        <v>6250</v>
      </c>
      <c r="G44" s="103"/>
      <c r="H44" s="113" t="n">
        <v>50</v>
      </c>
      <c r="I44" s="36" t="s">
        <v>269</v>
      </c>
      <c r="J44" s="108" t="n">
        <v>125</v>
      </c>
      <c r="K44" s="108" t="n">
        <f aca="false">IF(ISBLANK(H44),"",H44*J44)</f>
        <v>6250</v>
      </c>
      <c r="L44" s="103"/>
      <c r="M44" s="113" t="n">
        <v>50</v>
      </c>
      <c r="N44" s="36" t="s">
        <v>269</v>
      </c>
      <c r="O44" s="108" t="n">
        <v>130</v>
      </c>
      <c r="P44" s="108" t="n">
        <f aca="false">IF(ISBLANK(M44),"",M44*O44)</f>
        <v>6500</v>
      </c>
      <c r="Q44" s="103"/>
      <c r="R44" s="113" t="n">
        <v>50</v>
      </c>
      <c r="S44" s="36" t="s">
        <v>269</v>
      </c>
      <c r="T44" s="108" t="n">
        <v>125</v>
      </c>
      <c r="U44" s="108" t="n">
        <f aca="false">IF(ISBLANK(R44),"",R44*T44)</f>
        <v>6250</v>
      </c>
      <c r="V44" s="103"/>
      <c r="W44" s="113"/>
      <c r="X44" s="36" t="s">
        <v>272</v>
      </c>
      <c r="Y44" s="108"/>
      <c r="Z44" s="108" t="str">
        <f aca="false">IF(ISBLANK(W44),"",W44*Y44)</f>
        <v/>
      </c>
      <c r="AA44" s="103"/>
      <c r="AB44" s="113"/>
      <c r="AC44" s="36" t="s">
        <v>272</v>
      </c>
      <c r="AD44" s="108"/>
      <c r="AE44" s="108" t="str">
        <f aca="false">IF(ISBLANK(AB44),"",AB44*AD44)</f>
        <v/>
      </c>
      <c r="AF44" s="103"/>
      <c r="AG44" s="113"/>
      <c r="AH44" s="36" t="s">
        <v>272</v>
      </c>
      <c r="AI44" s="108"/>
      <c r="AJ44" s="108" t="str">
        <f aca="false">IF(ISBLANK(AG44),"",AG44*AI44)</f>
        <v/>
      </c>
      <c r="AK44" s="103"/>
      <c r="AL44" s="113"/>
      <c r="AM44" s="36" t="s">
        <v>272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09"/>
      <c r="B45" s="112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IF(B46&gt;0,IF(C46&gt;0,MAX($A$5:A44)+1," ")," ")</f>
        <v>20</v>
      </c>
      <c r="B46" s="112" t="s">
        <v>274</v>
      </c>
      <c r="C46" s="113" t="n">
        <v>50</v>
      </c>
      <c r="D46" s="36" t="s">
        <v>269</v>
      </c>
      <c r="E46" s="108" t="n">
        <v>50</v>
      </c>
      <c r="F46" s="108" t="n">
        <f aca="false">IF(ISBLANK(C46),"",C46*E46)</f>
        <v>2500</v>
      </c>
      <c r="G46" s="103"/>
      <c r="H46" s="113" t="n">
        <v>50</v>
      </c>
      <c r="I46" s="36" t="s">
        <v>269</v>
      </c>
      <c r="J46" s="108" t="n">
        <v>25</v>
      </c>
      <c r="K46" s="108" t="n">
        <f aca="false">IF(ISBLANK(H46),"",H46*J46)</f>
        <v>1250</v>
      </c>
      <c r="L46" s="103"/>
      <c r="M46" s="113" t="n">
        <v>50</v>
      </c>
      <c r="N46" s="36" t="s">
        <v>269</v>
      </c>
      <c r="O46" s="108" t="n">
        <v>55</v>
      </c>
      <c r="P46" s="108" t="n">
        <f aca="false">IF(ISBLANK(M46),"",M46*O46)</f>
        <v>2750</v>
      </c>
      <c r="Q46" s="103"/>
      <c r="R46" s="113" t="n">
        <v>50</v>
      </c>
      <c r="S46" s="36" t="s">
        <v>269</v>
      </c>
      <c r="T46" s="108" t="n">
        <v>50</v>
      </c>
      <c r="U46" s="108" t="n">
        <f aca="false">IF(ISBLANK(R46),"",R46*T46)</f>
        <v>2500</v>
      </c>
      <c r="V46" s="103"/>
      <c r="W46" s="113"/>
      <c r="X46" s="36"/>
      <c r="Y46" s="108"/>
      <c r="Z46" s="108" t="str">
        <f aca="false">IF(ISBLANK(W46),"",W46*Y46)</f>
        <v/>
      </c>
      <c r="AA46" s="103"/>
      <c r="AB46" s="113"/>
      <c r="AC46" s="36"/>
      <c r="AD46" s="108"/>
      <c r="AE46" s="108" t="str">
        <f aca="false">IF(ISBLANK(AB46),"",AB46*AD46)</f>
        <v/>
      </c>
      <c r="AF46" s="103"/>
      <c r="AG46" s="113"/>
      <c r="AH46" s="36"/>
      <c r="AI46" s="108"/>
      <c r="AJ46" s="108" t="str">
        <f aca="false">IF(ISBLANK(AG46),"",AG46*AI46)</f>
        <v/>
      </c>
      <c r="AK46" s="103"/>
      <c r="AL46" s="113"/>
      <c r="AM46" s="36"/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2"/>
      <c r="C47" s="113"/>
      <c r="D47" s="36"/>
      <c r="E47" s="108"/>
      <c r="F47" s="108"/>
      <c r="G47" s="103"/>
      <c r="H47" s="113"/>
      <c r="I47" s="36"/>
      <c r="J47" s="108"/>
      <c r="K47" s="108"/>
      <c r="L47" s="103"/>
      <c r="M47" s="113"/>
      <c r="N47" s="36"/>
      <c r="O47" s="108"/>
      <c r="P47" s="108"/>
      <c r="Q47" s="103"/>
      <c r="R47" s="113"/>
      <c r="S47" s="36"/>
      <c r="T47" s="108"/>
      <c r="U47" s="108"/>
      <c r="V47" s="103"/>
      <c r="W47" s="113"/>
      <c r="X47" s="36"/>
      <c r="Y47" s="108"/>
      <c r="Z47" s="108"/>
      <c r="AA47" s="103"/>
      <c r="AB47" s="113"/>
      <c r="AC47" s="36"/>
      <c r="AD47" s="108"/>
      <c r="AE47" s="108"/>
      <c r="AF47" s="103"/>
      <c r="AG47" s="113"/>
      <c r="AH47" s="36"/>
      <c r="AI47" s="108"/>
      <c r="AJ47" s="108"/>
      <c r="AK47" s="103"/>
      <c r="AL47" s="113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IF(B53&gt;0,IF(C53&gt;0,MAX($A$3:A47)+1,"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153205</v>
      </c>
      <c r="G54" s="103"/>
      <c r="H54" s="98"/>
      <c r="I54" s="98"/>
      <c r="J54" s="117" t="s">
        <v>177</v>
      </c>
      <c r="K54" s="117" t="n">
        <f aca="false">SUM(K5:K53)</f>
        <v>108987</v>
      </c>
      <c r="L54" s="103"/>
      <c r="M54" s="98"/>
      <c r="N54" s="98"/>
      <c r="O54" s="117" t="s">
        <v>177</v>
      </c>
      <c r="P54" s="117" t="n">
        <f aca="false">SUM(P5:P53)</f>
        <v>172205</v>
      </c>
      <c r="Q54" s="103"/>
      <c r="R54" s="98"/>
      <c r="S54" s="98"/>
      <c r="T54" s="117" t="s">
        <v>177</v>
      </c>
      <c r="U54" s="117" t="n">
        <f aca="false">SUM(U5:U53)</f>
        <v>110587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2.1 Frame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">
        <v>133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112" t="s">
        <v>276</v>
      </c>
      <c r="C8" s="113" t="n">
        <v>1</v>
      </c>
      <c r="D8" s="36" t="s">
        <v>209</v>
      </c>
      <c r="E8" s="108" t="n">
        <v>5000</v>
      </c>
      <c r="F8" s="108" t="n">
        <f aca="false">IF(ISBLANK(C8),"",C8*E8)</f>
        <v>5000</v>
      </c>
      <c r="G8" s="103"/>
      <c r="H8" s="113" t="n">
        <v>1</v>
      </c>
      <c r="I8" s="36" t="s">
        <v>209</v>
      </c>
      <c r="J8" s="108" t="n">
        <v>5000</v>
      </c>
      <c r="K8" s="108" t="n">
        <f aca="false">IF(ISBLANK(H8),"",H8*J8)</f>
        <v>5000</v>
      </c>
      <c r="L8" s="103"/>
      <c r="M8" s="113" t="n">
        <v>1</v>
      </c>
      <c r="N8" s="36" t="s">
        <v>209</v>
      </c>
      <c r="O8" s="108" t="n">
        <v>5000</v>
      </c>
      <c r="P8" s="108" t="n">
        <f aca="false">IF(ISBLANK(M8),"",M8*O8)</f>
        <v>5000</v>
      </c>
      <c r="Q8" s="103"/>
      <c r="R8" s="113" t="n">
        <v>1</v>
      </c>
      <c r="S8" s="36" t="s">
        <v>209</v>
      </c>
      <c r="T8" s="108" t="n">
        <v>5000</v>
      </c>
      <c r="U8" s="108" t="n">
        <f aca="false">IF(ISBLANK(R8),"",R8*T8)</f>
        <v>5000</v>
      </c>
      <c r="V8" s="103"/>
      <c r="W8" s="108"/>
      <c r="X8" s="36" t="s">
        <v>209</v>
      </c>
      <c r="Y8" s="108"/>
      <c r="Z8" s="108" t="str">
        <f aca="false">IF(ISBLANK(W8),"",W8*Y8)</f>
        <v/>
      </c>
      <c r="AA8" s="103"/>
      <c r="AB8" s="108"/>
      <c r="AC8" s="36" t="s">
        <v>209</v>
      </c>
      <c r="AD8" s="108"/>
      <c r="AE8" s="108" t="str">
        <f aca="false">IF(ISBLANK(AB8),"",AB8*AD8)</f>
        <v/>
      </c>
      <c r="AF8" s="103"/>
      <c r="AG8" s="108"/>
      <c r="AH8" s="36" t="s">
        <v>209</v>
      </c>
      <c r="AI8" s="108"/>
      <c r="AJ8" s="108" t="str">
        <f aca="false">IF(ISBLANK(AG8),"",AG8*AI8)</f>
        <v/>
      </c>
      <c r="AK8" s="103"/>
      <c r="AL8" s="108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112"/>
      <c r="C9" s="113"/>
      <c r="D9" s="36"/>
      <c r="E9" s="108"/>
      <c r="F9" s="108" t="str">
        <f aca="false">IF(ISBLANK(C9),"",C9*E9)</f>
        <v/>
      </c>
      <c r="G9" s="103"/>
      <c r="H9" s="113"/>
      <c r="I9" s="36"/>
      <c r="J9" s="108"/>
      <c r="K9" s="108" t="str">
        <f aca="false">IF(ISBLANK(H9),"",H9*J9)</f>
        <v/>
      </c>
      <c r="L9" s="103"/>
      <c r="M9" s="113"/>
      <c r="N9" s="36"/>
      <c r="O9" s="108"/>
      <c r="P9" s="108" t="str">
        <f aca="false">IF(ISBLANK(M9),"",M9*O9)</f>
        <v/>
      </c>
      <c r="Q9" s="103"/>
      <c r="R9" s="113"/>
      <c r="S9" s="36"/>
      <c r="T9" s="108"/>
      <c r="U9" s="108" t="str">
        <f aca="false">IF(ISBLANK(R9),"",R9*T9)</f>
        <v/>
      </c>
      <c r="V9" s="103"/>
      <c r="W9" s="108"/>
      <c r="X9" s="36"/>
      <c r="Y9" s="108"/>
      <c r="Z9" s="108" t="str">
        <f aca="false">IF(ISBLANK(W9),"",W9*Y9)</f>
        <v/>
      </c>
      <c r="AA9" s="103"/>
      <c r="AB9" s="108"/>
      <c r="AC9" s="36"/>
      <c r="AD9" s="108"/>
      <c r="AE9" s="108" t="str">
        <f aca="false">IF(ISBLANK(AB9),"",AB9*AD9)</f>
        <v/>
      </c>
      <c r="AF9" s="103"/>
      <c r="AG9" s="108"/>
      <c r="AH9" s="36"/>
      <c r="AI9" s="108"/>
      <c r="AJ9" s="108" t="str">
        <f aca="false">IF(ISBLANK(AG9),"",AG9*AI9)</f>
        <v/>
      </c>
      <c r="AK9" s="103"/>
      <c r="AL9" s="108"/>
      <c r="AM9" s="36"/>
      <c r="AN9" s="108"/>
      <c r="AO9" s="108" t="str">
        <f aca="false">IF(ISBLANK(AL9),"",AL9*AN9)</f>
        <v/>
      </c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112" t="s">
        <v>277</v>
      </c>
      <c r="C10" s="113" t="n">
        <v>1</v>
      </c>
      <c r="D10" s="36" t="s">
        <v>209</v>
      </c>
      <c r="E10" s="108" t="n">
        <v>2500</v>
      </c>
      <c r="F10" s="108" t="n">
        <f aca="false">IF(ISBLANK(C10),"",C10*E10)</f>
        <v>2500</v>
      </c>
      <c r="G10" s="103"/>
      <c r="H10" s="113" t="n">
        <v>1</v>
      </c>
      <c r="I10" s="36" t="s">
        <v>209</v>
      </c>
      <c r="J10" s="108" t="n">
        <v>2500</v>
      </c>
      <c r="K10" s="108" t="n">
        <f aca="false">IF(ISBLANK(H10),"",H10*J10)</f>
        <v>2500</v>
      </c>
      <c r="L10" s="103"/>
      <c r="M10" s="113" t="n">
        <v>1</v>
      </c>
      <c r="N10" s="36" t="s">
        <v>209</v>
      </c>
      <c r="O10" s="108" t="n">
        <v>2500</v>
      </c>
      <c r="P10" s="108" t="n">
        <f aca="false">IF(ISBLANK(M10),"",M10*O10)</f>
        <v>2500</v>
      </c>
      <c r="Q10" s="103"/>
      <c r="R10" s="113" t="n">
        <v>1</v>
      </c>
      <c r="S10" s="36" t="s">
        <v>209</v>
      </c>
      <c r="T10" s="108" t="n">
        <v>2500</v>
      </c>
      <c r="U10" s="108" t="n">
        <f aca="false">IF(ISBLANK(R10),"",R10*T10)</f>
        <v>2500</v>
      </c>
      <c r="V10" s="103"/>
      <c r="W10" s="108"/>
      <c r="X10" s="36" t="s">
        <v>209</v>
      </c>
      <c r="Y10" s="108"/>
      <c r="Z10" s="108" t="str">
        <f aca="false">IF(ISBLANK(W10),"",W10*Y10)</f>
        <v/>
      </c>
      <c r="AA10" s="103"/>
      <c r="AB10" s="108"/>
      <c r="AC10" s="36" t="s">
        <v>209</v>
      </c>
      <c r="AD10" s="108"/>
      <c r="AE10" s="108" t="str">
        <f aca="false">IF(ISBLANK(AB10),"",AB10*AD10)</f>
        <v/>
      </c>
      <c r="AF10" s="103"/>
      <c r="AG10" s="108"/>
      <c r="AH10" s="36" t="s">
        <v>209</v>
      </c>
      <c r="AI10" s="108"/>
      <c r="AJ10" s="108" t="str">
        <f aca="false">IF(ISBLANK(AG10),"",AG10*AI10)</f>
        <v/>
      </c>
      <c r="AK10" s="103"/>
      <c r="AL10" s="108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112"/>
      <c r="C11" s="113"/>
      <c r="D11" s="36"/>
      <c r="E11" s="108"/>
      <c r="F11" s="108" t="str">
        <f aca="false">IF(ISBLANK(C11),"",C11*E11)</f>
        <v/>
      </c>
      <c r="G11" s="103"/>
      <c r="H11" s="113"/>
      <c r="I11" s="36"/>
      <c r="J11" s="108"/>
      <c r="K11" s="108" t="str">
        <f aca="false">IF(ISBLANK(H11),"",H11*J11)</f>
        <v/>
      </c>
      <c r="L11" s="103"/>
      <c r="M11" s="113"/>
      <c r="N11" s="36"/>
      <c r="O11" s="108"/>
      <c r="P11" s="108" t="str">
        <f aca="false">IF(ISBLANK(M11),"",M11*O11)</f>
        <v/>
      </c>
      <c r="Q11" s="103"/>
      <c r="R11" s="113"/>
      <c r="S11" s="36"/>
      <c r="T11" s="108"/>
      <c r="U11" s="108" t="str">
        <f aca="false">IF(ISBLANK(R11),"",R11*T11)</f>
        <v/>
      </c>
      <c r="V11" s="103"/>
      <c r="W11" s="108"/>
      <c r="X11" s="36"/>
      <c r="Y11" s="108"/>
      <c r="Z11" s="108" t="str">
        <f aca="false">IF(ISBLANK(W11),"",W11*Y11)</f>
        <v/>
      </c>
      <c r="AA11" s="103"/>
      <c r="AB11" s="108"/>
      <c r="AC11" s="36"/>
      <c r="AD11" s="108"/>
      <c r="AE11" s="108" t="str">
        <f aca="false">IF(ISBLANK(AB11),"",AB11*AD11)</f>
        <v/>
      </c>
      <c r="AF11" s="103"/>
      <c r="AG11" s="108"/>
      <c r="AH11" s="36"/>
      <c r="AI11" s="108"/>
      <c r="AJ11" s="108" t="str">
        <f aca="false">IF(ISBLANK(AG11),"",AG11*AI11)</f>
        <v/>
      </c>
      <c r="AK11" s="103"/>
      <c r="AL11" s="108"/>
      <c r="AM11" s="36"/>
      <c r="AN11" s="108"/>
      <c r="AO11" s="108" t="str">
        <f aca="false">IF(ISBLANK(AL11),"",AL11*AN11)</f>
        <v/>
      </c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112" t="s">
        <v>278</v>
      </c>
      <c r="C12" s="113" t="n">
        <v>1</v>
      </c>
      <c r="D12" s="36" t="s">
        <v>209</v>
      </c>
      <c r="E12" s="108" t="n">
        <v>2500</v>
      </c>
      <c r="F12" s="108" t="n">
        <f aca="false">IF(ISBLANK(C12),"",C12*E12)</f>
        <v>2500</v>
      </c>
      <c r="G12" s="103"/>
      <c r="H12" s="113" t="n">
        <v>1</v>
      </c>
      <c r="I12" s="36" t="s">
        <v>209</v>
      </c>
      <c r="J12" s="108" t="n">
        <v>2500</v>
      </c>
      <c r="K12" s="108" t="n">
        <f aca="false">IF(ISBLANK(H12),"",H12*J12)</f>
        <v>2500</v>
      </c>
      <c r="L12" s="103"/>
      <c r="M12" s="113" t="n">
        <v>1</v>
      </c>
      <c r="N12" s="36" t="s">
        <v>209</v>
      </c>
      <c r="O12" s="108" t="n">
        <v>2500</v>
      </c>
      <c r="P12" s="108" t="n">
        <f aca="false">IF(ISBLANK(M12),"",M12*O12)</f>
        <v>2500</v>
      </c>
      <c r="Q12" s="103"/>
      <c r="R12" s="113" t="n">
        <v>1</v>
      </c>
      <c r="S12" s="36" t="s">
        <v>209</v>
      </c>
      <c r="T12" s="108" t="n">
        <v>2500</v>
      </c>
      <c r="U12" s="108" t="n">
        <f aca="false">IF(ISBLANK(R12),"",R12*T12)</f>
        <v>2500</v>
      </c>
      <c r="V12" s="103"/>
      <c r="W12" s="108"/>
      <c r="X12" s="36" t="s">
        <v>209</v>
      </c>
      <c r="Y12" s="108"/>
      <c r="Z12" s="108" t="str">
        <f aca="false">IF(ISBLANK(W12),"",W12*Y12)</f>
        <v/>
      </c>
      <c r="AA12" s="103"/>
      <c r="AB12" s="108"/>
      <c r="AC12" s="36" t="s">
        <v>209</v>
      </c>
      <c r="AD12" s="108"/>
      <c r="AE12" s="108" t="str">
        <f aca="false">IF(ISBLANK(AB12),"",AB12*AD12)</f>
        <v/>
      </c>
      <c r="AF12" s="103"/>
      <c r="AG12" s="108"/>
      <c r="AH12" s="36" t="s">
        <v>209</v>
      </c>
      <c r="AI12" s="108"/>
      <c r="AJ12" s="108" t="str">
        <f aca="false">IF(ISBLANK(AG12),"",AG12*AI12)</f>
        <v/>
      </c>
      <c r="AK12" s="103"/>
      <c r="AL12" s="108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112"/>
      <c r="C13" s="113"/>
      <c r="D13" s="36"/>
      <c r="E13" s="108"/>
      <c r="F13" s="108" t="str">
        <f aca="false">IF(ISBLANK(C13),"",C13*E13)</f>
        <v/>
      </c>
      <c r="G13" s="103"/>
      <c r="H13" s="113"/>
      <c r="I13" s="36"/>
      <c r="J13" s="108"/>
      <c r="K13" s="108" t="str">
        <f aca="false">IF(ISBLANK(H13),"",H13*J13)</f>
        <v/>
      </c>
      <c r="L13" s="103"/>
      <c r="M13" s="113"/>
      <c r="N13" s="36"/>
      <c r="O13" s="108"/>
      <c r="P13" s="108" t="str">
        <f aca="false">IF(ISBLANK(M13),"",M13*O13)</f>
        <v/>
      </c>
      <c r="Q13" s="103"/>
      <c r="R13" s="113"/>
      <c r="S13" s="36"/>
      <c r="T13" s="108"/>
      <c r="U13" s="108" t="str">
        <f aca="false">IF(ISBLANK(R13),"",R13*T13)</f>
        <v/>
      </c>
      <c r="V13" s="103"/>
      <c r="W13" s="108"/>
      <c r="X13" s="36"/>
      <c r="Y13" s="108"/>
      <c r="Z13" s="108" t="str">
        <f aca="false">IF(ISBLANK(W13),"",W13*Y13)</f>
        <v/>
      </c>
      <c r="AA13" s="103"/>
      <c r="AB13" s="108"/>
      <c r="AC13" s="36"/>
      <c r="AD13" s="108"/>
      <c r="AE13" s="108" t="str">
        <f aca="false">IF(ISBLANK(AB13),"",AB13*AD13)</f>
        <v/>
      </c>
      <c r="AF13" s="103"/>
      <c r="AG13" s="108"/>
      <c r="AH13" s="36"/>
      <c r="AI13" s="108"/>
      <c r="AJ13" s="108" t="str">
        <f aca="false">IF(ISBLANK(AG13),"",AG13*AI13)</f>
        <v/>
      </c>
      <c r="AK13" s="103"/>
      <c r="AL13" s="108"/>
      <c r="AM13" s="36"/>
      <c r="AN13" s="108"/>
      <c r="AO13" s="108" t="str">
        <f aca="false">IF(ISBLANK(AL13),"",AL13*AN13)</f>
        <v/>
      </c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112" t="s">
        <v>279</v>
      </c>
      <c r="C14" s="113" t="n">
        <v>540</v>
      </c>
      <c r="D14" s="36" t="s">
        <v>116</v>
      </c>
      <c r="E14" s="108" t="n">
        <v>25</v>
      </c>
      <c r="F14" s="108" t="n">
        <f aca="false">IF(ISBLANK(C14),"",C14*E14)</f>
        <v>13500</v>
      </c>
      <c r="G14" s="103"/>
      <c r="H14" s="113" t="n">
        <v>540</v>
      </c>
      <c r="I14" s="36" t="s">
        <v>116</v>
      </c>
      <c r="J14" s="108" t="n">
        <v>25</v>
      </c>
      <c r="K14" s="108" t="n">
        <f aca="false">IF(ISBLANK(H14),"",H14*J14)</f>
        <v>13500</v>
      </c>
      <c r="L14" s="103"/>
      <c r="M14" s="113" t="n">
        <v>540</v>
      </c>
      <c r="N14" s="36" t="s">
        <v>116</v>
      </c>
      <c r="O14" s="108" t="n">
        <v>25</v>
      </c>
      <c r="P14" s="108" t="n">
        <f aca="false">IF(ISBLANK(M14),"",M14*O14)</f>
        <v>13500</v>
      </c>
      <c r="Q14" s="103"/>
      <c r="R14" s="113" t="n">
        <v>540</v>
      </c>
      <c r="S14" s="36" t="s">
        <v>116</v>
      </c>
      <c r="T14" s="108" t="n">
        <v>25</v>
      </c>
      <c r="U14" s="108" t="n">
        <f aca="false">IF(ISBLANK(R14),"",R14*T14)</f>
        <v>13500</v>
      </c>
      <c r="V14" s="103"/>
      <c r="W14" s="108"/>
      <c r="X14" s="36" t="s">
        <v>116</v>
      </c>
      <c r="Y14" s="108"/>
      <c r="Z14" s="108" t="str">
        <f aca="false">IF(ISBLANK(W14),"",W14*Y14)</f>
        <v/>
      </c>
      <c r="AA14" s="103"/>
      <c r="AB14" s="108"/>
      <c r="AC14" s="36" t="s">
        <v>116</v>
      </c>
      <c r="AD14" s="108"/>
      <c r="AE14" s="108" t="str">
        <f aca="false">IF(ISBLANK(AB14),"",AB14*AD14)</f>
        <v/>
      </c>
      <c r="AF14" s="103"/>
      <c r="AG14" s="108"/>
      <c r="AH14" s="36" t="s">
        <v>116</v>
      </c>
      <c r="AI14" s="108"/>
      <c r="AJ14" s="108" t="str">
        <f aca="false">IF(ISBLANK(AG14),"",AG14*AI14)</f>
        <v/>
      </c>
      <c r="AK14" s="103"/>
      <c r="AL14" s="108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112"/>
      <c r="C15" s="113"/>
      <c r="D15" s="36"/>
      <c r="E15" s="108"/>
      <c r="F15" s="108" t="str">
        <f aca="false">IF(ISBLANK(C15),"",C15*E15)</f>
        <v/>
      </c>
      <c r="G15" s="103"/>
      <c r="H15" s="113"/>
      <c r="I15" s="36"/>
      <c r="J15" s="108"/>
      <c r="K15" s="108" t="str">
        <f aca="false">IF(ISBLANK(H15),"",H15*J15)</f>
        <v/>
      </c>
      <c r="L15" s="103"/>
      <c r="M15" s="113"/>
      <c r="N15" s="36"/>
      <c r="O15" s="108"/>
      <c r="P15" s="108" t="str">
        <f aca="false">IF(ISBLANK(M15),"",M15*O15)</f>
        <v/>
      </c>
      <c r="Q15" s="103"/>
      <c r="R15" s="113"/>
      <c r="S15" s="36"/>
      <c r="T15" s="108"/>
      <c r="U15" s="108" t="str">
        <f aca="false">IF(ISBLANK(R15),"",R15*T15)</f>
        <v/>
      </c>
      <c r="V15" s="103"/>
      <c r="W15" s="108"/>
      <c r="X15" s="36"/>
      <c r="Y15" s="108"/>
      <c r="Z15" s="108" t="str">
        <f aca="false">IF(ISBLANK(W15),"",W15*Y15)</f>
        <v/>
      </c>
      <c r="AA15" s="103"/>
      <c r="AB15" s="108"/>
      <c r="AC15" s="36"/>
      <c r="AD15" s="108"/>
      <c r="AE15" s="108" t="str">
        <f aca="false">IF(ISBLANK(AB15),"",AB15*AD15)</f>
        <v/>
      </c>
      <c r="AF15" s="103"/>
      <c r="AG15" s="108"/>
      <c r="AH15" s="36"/>
      <c r="AI15" s="108"/>
      <c r="AJ15" s="108" t="str">
        <f aca="false">IF(ISBLANK(AG15),"",AG15*AI15)</f>
        <v/>
      </c>
      <c r="AK15" s="103"/>
      <c r="AL15" s="108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112" t="s">
        <v>280</v>
      </c>
      <c r="C16" s="113" t="n">
        <v>1</v>
      </c>
      <c r="D16" s="36" t="s">
        <v>209</v>
      </c>
      <c r="E16" s="108" t="n">
        <v>2500</v>
      </c>
      <c r="F16" s="108" t="n">
        <f aca="false">IF(ISBLANK(C16),"",C16*E16)</f>
        <v>2500</v>
      </c>
      <c r="G16" s="103"/>
      <c r="H16" s="113" t="n">
        <v>1</v>
      </c>
      <c r="I16" s="36" t="s">
        <v>209</v>
      </c>
      <c r="J16" s="108" t="n">
        <v>2500</v>
      </c>
      <c r="K16" s="108" t="n">
        <f aca="false">IF(ISBLANK(H16),"",H16*J16)</f>
        <v>2500</v>
      </c>
      <c r="L16" s="103"/>
      <c r="M16" s="113" t="n">
        <v>1</v>
      </c>
      <c r="N16" s="36" t="s">
        <v>209</v>
      </c>
      <c r="O16" s="108" t="n">
        <v>2500</v>
      </c>
      <c r="P16" s="108" t="n">
        <f aca="false">IF(ISBLANK(M16),"",M16*O16)</f>
        <v>2500</v>
      </c>
      <c r="Q16" s="103"/>
      <c r="R16" s="113" t="n">
        <v>1</v>
      </c>
      <c r="S16" s="36" t="s">
        <v>209</v>
      </c>
      <c r="T16" s="108" t="n">
        <v>2500</v>
      </c>
      <c r="U16" s="108" t="n">
        <f aca="false">IF(ISBLANK(R16),"",R16*T16)</f>
        <v>2500</v>
      </c>
      <c r="V16" s="103"/>
      <c r="W16" s="108"/>
      <c r="X16" s="36" t="s">
        <v>209</v>
      </c>
      <c r="Y16" s="108"/>
      <c r="Z16" s="108" t="str">
        <f aca="false">IF(ISBLANK(W16),"",W16*Y16)</f>
        <v/>
      </c>
      <c r="AA16" s="103"/>
      <c r="AB16" s="108"/>
      <c r="AC16" s="36" t="s">
        <v>209</v>
      </c>
      <c r="AD16" s="108"/>
      <c r="AE16" s="108" t="str">
        <f aca="false">IF(ISBLANK(AB16),"",AB16*AD16)</f>
        <v/>
      </c>
      <c r="AF16" s="103"/>
      <c r="AG16" s="108"/>
      <c r="AH16" s="36" t="s">
        <v>209</v>
      </c>
      <c r="AI16" s="108"/>
      <c r="AJ16" s="108" t="str">
        <f aca="false">IF(ISBLANK(AG16),"",AG16*AI16)</f>
        <v/>
      </c>
      <c r="AK16" s="103"/>
      <c r="AL16" s="108"/>
      <c r="AM16" s="36" t="s">
        <v>209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112"/>
      <c r="C17" s="113"/>
      <c r="D17" s="36"/>
      <c r="E17" s="108"/>
      <c r="F17" s="108" t="str">
        <f aca="false">IF(ISBLANK(C17),"",C17*E17)</f>
        <v/>
      </c>
      <c r="G17" s="103"/>
      <c r="H17" s="113"/>
      <c r="I17" s="36"/>
      <c r="J17" s="108"/>
      <c r="K17" s="108" t="str">
        <f aca="false">IF(ISBLANK(H17),"",H17*J17)</f>
        <v/>
      </c>
      <c r="L17" s="103"/>
      <c r="M17" s="113"/>
      <c r="N17" s="36"/>
      <c r="O17" s="108"/>
      <c r="P17" s="108" t="str">
        <f aca="false">IF(ISBLANK(M17),"",M17*O17)</f>
        <v/>
      </c>
      <c r="Q17" s="103"/>
      <c r="R17" s="113"/>
      <c r="S17" s="36"/>
      <c r="T17" s="108"/>
      <c r="U17" s="108" t="str">
        <f aca="false">IF(ISBLANK(R17),"",R17*T17)</f>
        <v/>
      </c>
      <c r="V17" s="103"/>
      <c r="W17" s="108"/>
      <c r="X17" s="36"/>
      <c r="Y17" s="108"/>
      <c r="Z17" s="108" t="str">
        <f aca="false">IF(ISBLANK(W17),"",W17*Y17)</f>
        <v/>
      </c>
      <c r="AA17" s="103"/>
      <c r="AB17" s="108"/>
      <c r="AC17" s="36"/>
      <c r="AD17" s="108"/>
      <c r="AE17" s="108" t="str">
        <f aca="false">IF(ISBLANK(AB17),"",AB17*AD17)</f>
        <v/>
      </c>
      <c r="AF17" s="103"/>
      <c r="AG17" s="108"/>
      <c r="AH17" s="36"/>
      <c r="AI17" s="108"/>
      <c r="AJ17" s="108" t="str">
        <f aca="false">IF(ISBLANK(AG17),"",AG17*AI17)</f>
        <v/>
      </c>
      <c r="AK17" s="103"/>
      <c r="AL17" s="108"/>
      <c r="AM17" s="36"/>
      <c r="AN17" s="108"/>
      <c r="AO17" s="108" t="str">
        <f aca="false">IF(ISBLANK(AL17),"",AL17*AN17)</f>
        <v/>
      </c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112" t="s">
        <v>281</v>
      </c>
      <c r="C18" s="113" t="n">
        <v>150</v>
      </c>
      <c r="D18" s="36" t="s">
        <v>282</v>
      </c>
      <c r="E18" s="108" t="n">
        <v>350</v>
      </c>
      <c r="F18" s="108" t="n">
        <f aca="false">IF(ISBLANK(C18),"",C18*E18)</f>
        <v>52500</v>
      </c>
      <c r="G18" s="103"/>
      <c r="H18" s="113" t="n">
        <v>150</v>
      </c>
      <c r="I18" s="36" t="s">
        <v>282</v>
      </c>
      <c r="J18" s="108" t="n">
        <v>350</v>
      </c>
      <c r="K18" s="108" t="n">
        <f aca="false">IF(ISBLANK(H18),"",H18*J18)</f>
        <v>52500</v>
      </c>
      <c r="L18" s="103"/>
      <c r="M18" s="113" t="n">
        <v>150</v>
      </c>
      <c r="N18" s="36" t="s">
        <v>282</v>
      </c>
      <c r="O18" s="108" t="n">
        <v>350</v>
      </c>
      <c r="P18" s="108" t="n">
        <f aca="false">IF(ISBLANK(M18),"",M18*O18)</f>
        <v>52500</v>
      </c>
      <c r="Q18" s="103"/>
      <c r="R18" s="113" t="n">
        <v>150</v>
      </c>
      <c r="S18" s="36" t="s">
        <v>282</v>
      </c>
      <c r="T18" s="108" t="n">
        <v>350</v>
      </c>
      <c r="U18" s="108" t="n">
        <f aca="false">IF(ISBLANK(R18),"",R18*T18)</f>
        <v>52500</v>
      </c>
      <c r="V18" s="103"/>
      <c r="W18" s="108"/>
      <c r="X18" s="36" t="s">
        <v>282</v>
      </c>
      <c r="Y18" s="108"/>
      <c r="Z18" s="108" t="str">
        <f aca="false">IF(ISBLANK(W18),"",W18*Y18)</f>
        <v/>
      </c>
      <c r="AA18" s="103"/>
      <c r="AB18" s="108"/>
      <c r="AC18" s="36" t="s">
        <v>282</v>
      </c>
      <c r="AD18" s="108"/>
      <c r="AE18" s="108" t="str">
        <f aca="false">IF(ISBLANK(AB18),"",AB18*AD18)</f>
        <v/>
      </c>
      <c r="AF18" s="103"/>
      <c r="AG18" s="108"/>
      <c r="AH18" s="36" t="s">
        <v>282</v>
      </c>
      <c r="AI18" s="108"/>
      <c r="AJ18" s="108" t="str">
        <f aca="false">IF(ISBLANK(AG18),"",AG18*AI18)</f>
        <v/>
      </c>
      <c r="AK18" s="103"/>
      <c r="AL18" s="108"/>
      <c r="AM18" s="36" t="s">
        <v>282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112"/>
      <c r="C19" s="113"/>
      <c r="D19" s="36"/>
      <c r="E19" s="108"/>
      <c r="F19" s="108" t="str">
        <f aca="false">IF(ISBLANK(C19),"",C19*E19)</f>
        <v/>
      </c>
      <c r="G19" s="103"/>
      <c r="H19" s="113"/>
      <c r="I19" s="36"/>
      <c r="J19" s="108"/>
      <c r="K19" s="108" t="str">
        <f aca="false">IF(ISBLANK(H19),"",H19*J19)</f>
        <v/>
      </c>
      <c r="L19" s="103"/>
      <c r="M19" s="113"/>
      <c r="N19" s="36"/>
      <c r="O19" s="108"/>
      <c r="P19" s="108" t="str">
        <f aca="false">IF(ISBLANK(M19),"",M19*O19)</f>
        <v/>
      </c>
      <c r="Q19" s="103"/>
      <c r="R19" s="113"/>
      <c r="S19" s="36"/>
      <c r="T19" s="108"/>
      <c r="U19" s="108" t="str">
        <f aca="false">IF(ISBLANK(R19),"",R19*T19)</f>
        <v/>
      </c>
      <c r="V19" s="103"/>
      <c r="W19" s="108"/>
      <c r="X19" s="36"/>
      <c r="Y19" s="108"/>
      <c r="Z19" s="108" t="str">
        <f aca="false">IF(ISBLANK(W19),"",W19*Y19)</f>
        <v/>
      </c>
      <c r="AA19" s="103"/>
      <c r="AB19" s="108"/>
      <c r="AC19" s="36"/>
      <c r="AD19" s="108"/>
      <c r="AE19" s="108" t="str">
        <f aca="false">IF(ISBLANK(AB19),"",AB19*AD19)</f>
        <v/>
      </c>
      <c r="AF19" s="103"/>
      <c r="AG19" s="108"/>
      <c r="AH19" s="36"/>
      <c r="AI19" s="108"/>
      <c r="AJ19" s="108" t="str">
        <f aca="false">IF(ISBLANK(AG19),"",AG19*AI19)</f>
        <v/>
      </c>
      <c r="AK19" s="103"/>
      <c r="AL19" s="108"/>
      <c r="AM19" s="36"/>
      <c r="AN19" s="108"/>
      <c r="AO19" s="108" t="str">
        <f aca="false">IF(ISBLANK(AL19),"",AL19*AN19)</f>
        <v/>
      </c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112" t="s">
        <v>283</v>
      </c>
      <c r="C20" s="113" t="n">
        <v>265</v>
      </c>
      <c r="D20" s="36" t="s">
        <v>282</v>
      </c>
      <c r="E20" s="108" t="n">
        <v>350</v>
      </c>
      <c r="F20" s="108" t="n">
        <f aca="false">IF(ISBLANK(C20),"",C20*E20)</f>
        <v>92750</v>
      </c>
      <c r="G20" s="103"/>
      <c r="H20" s="113" t="n">
        <v>265</v>
      </c>
      <c r="I20" s="36" t="s">
        <v>282</v>
      </c>
      <c r="J20" s="108" t="n">
        <v>350</v>
      </c>
      <c r="K20" s="108" t="n">
        <f aca="false">IF(ISBLANK(H20),"",H20*J20)</f>
        <v>92750</v>
      </c>
      <c r="L20" s="103"/>
      <c r="M20" s="113" t="n">
        <v>265</v>
      </c>
      <c r="N20" s="36" t="s">
        <v>282</v>
      </c>
      <c r="O20" s="108" t="n">
        <v>350</v>
      </c>
      <c r="P20" s="108" t="n">
        <f aca="false">IF(ISBLANK(M20),"",M20*O20)</f>
        <v>92750</v>
      </c>
      <c r="Q20" s="103"/>
      <c r="R20" s="113" t="n">
        <v>265</v>
      </c>
      <c r="S20" s="36" t="s">
        <v>282</v>
      </c>
      <c r="T20" s="108" t="n">
        <v>350</v>
      </c>
      <c r="U20" s="108" t="n">
        <f aca="false">IF(ISBLANK(R20),"",R20*T20)</f>
        <v>92750</v>
      </c>
      <c r="V20" s="103"/>
      <c r="W20" s="108"/>
      <c r="X20" s="36" t="s">
        <v>282</v>
      </c>
      <c r="Y20" s="108"/>
      <c r="Z20" s="108" t="str">
        <f aca="false">IF(ISBLANK(W20),"",W20*Y20)</f>
        <v/>
      </c>
      <c r="AA20" s="103"/>
      <c r="AB20" s="108"/>
      <c r="AC20" s="36" t="s">
        <v>282</v>
      </c>
      <c r="AD20" s="108"/>
      <c r="AE20" s="108" t="str">
        <f aca="false">IF(ISBLANK(AB20),"",AB20*AD20)</f>
        <v/>
      </c>
      <c r="AF20" s="103"/>
      <c r="AG20" s="108"/>
      <c r="AH20" s="36" t="s">
        <v>282</v>
      </c>
      <c r="AI20" s="108"/>
      <c r="AJ20" s="108" t="str">
        <f aca="false">IF(ISBLANK(AG20),"",AG20*AI20)</f>
        <v/>
      </c>
      <c r="AK20" s="103"/>
      <c r="AL20" s="108"/>
      <c r="AM20" s="36" t="s">
        <v>282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112"/>
      <c r="C21" s="113"/>
      <c r="D21" s="36"/>
      <c r="E21" s="108"/>
      <c r="F21" s="108" t="str">
        <f aca="false">IF(ISBLANK(C21),"",C21*E21)</f>
        <v/>
      </c>
      <c r="G21" s="103"/>
      <c r="H21" s="113"/>
      <c r="I21" s="36"/>
      <c r="J21" s="108"/>
      <c r="K21" s="108" t="str">
        <f aca="false">IF(ISBLANK(H21),"",H21*J21)</f>
        <v/>
      </c>
      <c r="L21" s="103"/>
      <c r="M21" s="113"/>
      <c r="N21" s="36"/>
      <c r="O21" s="108"/>
      <c r="P21" s="108" t="str">
        <f aca="false">IF(ISBLANK(M21),"",M21*O21)</f>
        <v/>
      </c>
      <c r="Q21" s="103"/>
      <c r="R21" s="113"/>
      <c r="S21" s="36"/>
      <c r="T21" s="108"/>
      <c r="U21" s="108" t="str">
        <f aca="false">IF(ISBLANK(R21),"",R21*T21)</f>
        <v/>
      </c>
      <c r="V21" s="103"/>
      <c r="W21" s="108"/>
      <c r="X21" s="36"/>
      <c r="Y21" s="108"/>
      <c r="Z21" s="108" t="str">
        <f aca="false">IF(ISBLANK(W21),"",W21*Y21)</f>
        <v/>
      </c>
      <c r="AA21" s="103"/>
      <c r="AB21" s="108"/>
      <c r="AC21" s="36"/>
      <c r="AD21" s="108"/>
      <c r="AE21" s="108" t="str">
        <f aca="false">IF(ISBLANK(AB21),"",AB21*AD21)</f>
        <v/>
      </c>
      <c r="AF21" s="103"/>
      <c r="AG21" s="108"/>
      <c r="AH21" s="36"/>
      <c r="AI21" s="108"/>
      <c r="AJ21" s="108" t="str">
        <f aca="false">IF(ISBLANK(AG21),"",AG21*AI21)</f>
        <v/>
      </c>
      <c r="AK21" s="103"/>
      <c r="AL21" s="108"/>
      <c r="AM21" s="36"/>
      <c r="AN21" s="108"/>
      <c r="AO21" s="108" t="str">
        <f aca="false">IF(ISBLANK(AL21),"",AL21*AN21)</f>
        <v/>
      </c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112" t="s">
        <v>284</v>
      </c>
      <c r="C22" s="113" t="n">
        <v>225</v>
      </c>
      <c r="D22" s="36" t="s">
        <v>282</v>
      </c>
      <c r="E22" s="108" t="n">
        <v>350</v>
      </c>
      <c r="F22" s="108" t="n">
        <f aca="false">IF(ISBLANK(C22),"",C22*E22)</f>
        <v>78750</v>
      </c>
      <c r="G22" s="103"/>
      <c r="H22" s="113" t="n">
        <v>225</v>
      </c>
      <c r="I22" s="36" t="s">
        <v>282</v>
      </c>
      <c r="J22" s="108" t="n">
        <v>350</v>
      </c>
      <c r="K22" s="108" t="n">
        <f aca="false">IF(ISBLANK(H22),"",H22*J22)</f>
        <v>78750</v>
      </c>
      <c r="L22" s="103"/>
      <c r="M22" s="113" t="n">
        <v>225</v>
      </c>
      <c r="N22" s="36" t="s">
        <v>282</v>
      </c>
      <c r="O22" s="108" t="n">
        <v>350</v>
      </c>
      <c r="P22" s="108" t="n">
        <f aca="false">IF(ISBLANK(M22),"",M22*O22)</f>
        <v>78750</v>
      </c>
      <c r="Q22" s="103"/>
      <c r="R22" s="113" t="n">
        <v>225</v>
      </c>
      <c r="S22" s="36" t="s">
        <v>282</v>
      </c>
      <c r="T22" s="108" t="n">
        <v>350</v>
      </c>
      <c r="U22" s="108" t="n">
        <f aca="false">IF(ISBLANK(R22),"",R22*T22)</f>
        <v>78750</v>
      </c>
      <c r="V22" s="103"/>
      <c r="W22" s="108"/>
      <c r="X22" s="36" t="s">
        <v>282</v>
      </c>
      <c r="Y22" s="108"/>
      <c r="Z22" s="108" t="str">
        <f aca="false">IF(ISBLANK(W22),"",W22*Y22)</f>
        <v/>
      </c>
      <c r="AA22" s="103"/>
      <c r="AB22" s="108"/>
      <c r="AC22" s="36" t="s">
        <v>282</v>
      </c>
      <c r="AD22" s="108"/>
      <c r="AE22" s="108" t="str">
        <f aca="false">IF(ISBLANK(AB22),"",AB22*AD22)</f>
        <v/>
      </c>
      <c r="AF22" s="103"/>
      <c r="AG22" s="108"/>
      <c r="AH22" s="36" t="s">
        <v>282</v>
      </c>
      <c r="AI22" s="108"/>
      <c r="AJ22" s="108" t="str">
        <f aca="false">IF(ISBLANK(AG22),"",AG22*AI22)</f>
        <v/>
      </c>
      <c r="AK22" s="103"/>
      <c r="AL22" s="108"/>
      <c r="AM22" s="36" t="s">
        <v>282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112"/>
      <c r="C23" s="113"/>
      <c r="D23" s="36"/>
      <c r="E23" s="108"/>
      <c r="F23" s="108" t="str">
        <f aca="false">IF(ISBLANK(C23),"",C23*E23)</f>
        <v/>
      </c>
      <c r="G23" s="103"/>
      <c r="H23" s="113"/>
      <c r="I23" s="36"/>
      <c r="J23" s="108"/>
      <c r="K23" s="108" t="str">
        <f aca="false">IF(ISBLANK(H23),"",H23*J23)</f>
        <v/>
      </c>
      <c r="L23" s="103"/>
      <c r="M23" s="113"/>
      <c r="N23" s="36"/>
      <c r="O23" s="108"/>
      <c r="P23" s="108" t="str">
        <f aca="false">IF(ISBLANK(M23),"",M23*O23)</f>
        <v/>
      </c>
      <c r="Q23" s="103"/>
      <c r="R23" s="113"/>
      <c r="S23" s="36"/>
      <c r="T23" s="108"/>
      <c r="U23" s="108" t="str">
        <f aca="false">IF(ISBLANK(R23),"",R23*T23)</f>
        <v/>
      </c>
      <c r="V23" s="103"/>
      <c r="W23" s="108"/>
      <c r="X23" s="36"/>
      <c r="Y23" s="108"/>
      <c r="Z23" s="108" t="str">
        <f aca="false">IF(ISBLANK(W23),"",W23*Y23)</f>
        <v/>
      </c>
      <c r="AA23" s="103"/>
      <c r="AB23" s="108"/>
      <c r="AC23" s="36"/>
      <c r="AD23" s="108"/>
      <c r="AE23" s="108" t="str">
        <f aca="false">IF(ISBLANK(AB23),"",AB23*AD23)</f>
        <v/>
      </c>
      <c r="AF23" s="103"/>
      <c r="AG23" s="108"/>
      <c r="AH23" s="36"/>
      <c r="AI23" s="108"/>
      <c r="AJ23" s="108" t="str">
        <f aca="false">IF(ISBLANK(AG23),"",AG23*AI23)</f>
        <v/>
      </c>
      <c r="AK23" s="103"/>
      <c r="AL23" s="108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112" t="s">
        <v>285</v>
      </c>
      <c r="C24" s="113" t="n">
        <v>55</v>
      </c>
      <c r="D24" s="36" t="s">
        <v>282</v>
      </c>
      <c r="E24" s="108" t="n">
        <v>475</v>
      </c>
      <c r="F24" s="108" t="n">
        <f aca="false">IF(ISBLANK(C24),"",C24*E24)</f>
        <v>26125</v>
      </c>
      <c r="G24" s="103"/>
      <c r="H24" s="113" t="n">
        <v>55</v>
      </c>
      <c r="I24" s="36" t="s">
        <v>282</v>
      </c>
      <c r="J24" s="108" t="n">
        <v>475</v>
      </c>
      <c r="K24" s="108" t="n">
        <f aca="false">IF(ISBLANK(H24),"",H24*J24)</f>
        <v>26125</v>
      </c>
      <c r="L24" s="103"/>
      <c r="M24" s="113" t="n">
        <v>55</v>
      </c>
      <c r="N24" s="36" t="s">
        <v>282</v>
      </c>
      <c r="O24" s="108" t="n">
        <v>475</v>
      </c>
      <c r="P24" s="108" t="n">
        <f aca="false">IF(ISBLANK(M24),"",M24*O24)</f>
        <v>26125</v>
      </c>
      <c r="Q24" s="103"/>
      <c r="R24" s="113" t="n">
        <v>55</v>
      </c>
      <c r="S24" s="36" t="s">
        <v>282</v>
      </c>
      <c r="T24" s="108" t="n">
        <v>475</v>
      </c>
      <c r="U24" s="108" t="n">
        <f aca="false">IF(ISBLANK(R24),"",R24*T24)</f>
        <v>26125</v>
      </c>
      <c r="V24" s="103"/>
      <c r="W24" s="108"/>
      <c r="X24" s="36" t="s">
        <v>282</v>
      </c>
      <c r="Y24" s="108"/>
      <c r="Z24" s="108" t="str">
        <f aca="false">IF(ISBLANK(W24),"",W24*Y24)</f>
        <v/>
      </c>
      <c r="AA24" s="103"/>
      <c r="AB24" s="108"/>
      <c r="AC24" s="36" t="s">
        <v>282</v>
      </c>
      <c r="AD24" s="108"/>
      <c r="AE24" s="108" t="str">
        <f aca="false">IF(ISBLANK(AB24),"",AB24*AD24)</f>
        <v/>
      </c>
      <c r="AF24" s="103"/>
      <c r="AG24" s="108"/>
      <c r="AH24" s="36" t="s">
        <v>282</v>
      </c>
      <c r="AI24" s="108"/>
      <c r="AJ24" s="108" t="str">
        <f aca="false">IF(ISBLANK(AG24),"",AG24*AI24)</f>
        <v/>
      </c>
      <c r="AK24" s="103"/>
      <c r="AL24" s="108"/>
      <c r="AM24" s="36" t="s">
        <v>282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112"/>
      <c r="C25" s="113"/>
      <c r="D25" s="36"/>
      <c r="E25" s="108"/>
      <c r="F25" s="108" t="str">
        <f aca="false">IF(ISBLANK(C25),"",C25*E25)</f>
        <v/>
      </c>
      <c r="G25" s="103"/>
      <c r="H25" s="113"/>
      <c r="I25" s="36"/>
      <c r="J25" s="108"/>
      <c r="K25" s="108" t="str">
        <f aca="false">IF(ISBLANK(H25),"",H25*J25)</f>
        <v/>
      </c>
      <c r="L25" s="103"/>
      <c r="M25" s="113"/>
      <c r="N25" s="36"/>
      <c r="O25" s="108"/>
      <c r="P25" s="108" t="str">
        <f aca="false">IF(ISBLANK(M25),"",M25*O25)</f>
        <v/>
      </c>
      <c r="Q25" s="103"/>
      <c r="R25" s="113"/>
      <c r="S25" s="36"/>
      <c r="T25" s="108"/>
      <c r="U25" s="108" t="str">
        <f aca="false">IF(ISBLANK(R25),"",R25*T25)</f>
        <v/>
      </c>
      <c r="V25" s="103"/>
      <c r="W25" s="108"/>
      <c r="X25" s="36"/>
      <c r="Y25" s="108"/>
      <c r="Z25" s="108" t="str">
        <f aca="false">IF(ISBLANK(W25),"",W25*Y25)</f>
        <v/>
      </c>
      <c r="AA25" s="103"/>
      <c r="AB25" s="108"/>
      <c r="AC25" s="36"/>
      <c r="AD25" s="108"/>
      <c r="AE25" s="108" t="str">
        <f aca="false">IF(ISBLANK(AB25),"",AB25*AD25)</f>
        <v/>
      </c>
      <c r="AF25" s="103"/>
      <c r="AG25" s="108"/>
      <c r="AH25" s="36"/>
      <c r="AI25" s="108"/>
      <c r="AJ25" s="108" t="str">
        <f aca="false">IF(ISBLANK(AG25),"",AG25*AI25)</f>
        <v/>
      </c>
      <c r="AK25" s="103"/>
      <c r="AL25" s="108"/>
      <c r="AM25" s="36"/>
      <c r="AN25" s="108"/>
      <c r="AO25" s="108" t="str">
        <f aca="false">IF(ISBLANK(AL25),"",AL25*AN25)</f>
        <v/>
      </c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112" t="s">
        <v>286</v>
      </c>
      <c r="C26" s="113" t="n">
        <v>7</v>
      </c>
      <c r="D26" s="36" t="s">
        <v>287</v>
      </c>
      <c r="E26" s="108" t="n">
        <v>3500</v>
      </c>
      <c r="F26" s="108" t="n">
        <f aca="false">IF(ISBLANK(C26),"",C26*E26)</f>
        <v>24500</v>
      </c>
      <c r="G26" s="103"/>
      <c r="H26" s="113" t="n">
        <v>7</v>
      </c>
      <c r="I26" s="36" t="s">
        <v>287</v>
      </c>
      <c r="J26" s="108" t="n">
        <v>3500</v>
      </c>
      <c r="K26" s="108" t="n">
        <f aca="false">IF(ISBLANK(H26),"",H26*J26)</f>
        <v>24500</v>
      </c>
      <c r="L26" s="103"/>
      <c r="M26" s="113" t="n">
        <v>7</v>
      </c>
      <c r="N26" s="36" t="s">
        <v>287</v>
      </c>
      <c r="O26" s="108" t="n">
        <v>3500</v>
      </c>
      <c r="P26" s="108" t="n">
        <f aca="false">IF(ISBLANK(M26),"",M26*O26)</f>
        <v>24500</v>
      </c>
      <c r="Q26" s="103"/>
      <c r="R26" s="113" t="n">
        <v>7</v>
      </c>
      <c r="S26" s="36" t="s">
        <v>287</v>
      </c>
      <c r="T26" s="108" t="n">
        <v>3500</v>
      </c>
      <c r="U26" s="108" t="n">
        <f aca="false">IF(ISBLANK(R26),"",R26*T26)</f>
        <v>24500</v>
      </c>
      <c r="V26" s="103"/>
      <c r="W26" s="108"/>
      <c r="X26" s="36" t="s">
        <v>287</v>
      </c>
      <c r="Y26" s="108"/>
      <c r="Z26" s="108" t="str">
        <f aca="false">IF(ISBLANK(W26),"",W26*Y26)</f>
        <v/>
      </c>
      <c r="AA26" s="103"/>
      <c r="AB26" s="108"/>
      <c r="AC26" s="36" t="s">
        <v>287</v>
      </c>
      <c r="AD26" s="108"/>
      <c r="AE26" s="108" t="str">
        <f aca="false">IF(ISBLANK(AB26),"",AB26*AD26)</f>
        <v/>
      </c>
      <c r="AF26" s="103"/>
      <c r="AG26" s="108"/>
      <c r="AH26" s="36" t="s">
        <v>287</v>
      </c>
      <c r="AI26" s="108"/>
      <c r="AJ26" s="108" t="str">
        <f aca="false">IF(ISBLANK(AG26),"",AG26*AI26)</f>
        <v/>
      </c>
      <c r="AK26" s="103"/>
      <c r="AL26" s="108"/>
      <c r="AM26" s="36" t="s">
        <v>287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112"/>
      <c r="C27" s="113"/>
      <c r="D27" s="36"/>
      <c r="E27" s="108"/>
      <c r="F27" s="108" t="str">
        <f aca="false">IF(ISBLANK(C27),"",C27*E27)</f>
        <v/>
      </c>
      <c r="G27" s="103"/>
      <c r="H27" s="113"/>
      <c r="I27" s="36"/>
      <c r="J27" s="108"/>
      <c r="K27" s="108" t="str">
        <f aca="false">IF(ISBLANK(H27),"",H27*J27)</f>
        <v/>
      </c>
      <c r="L27" s="103"/>
      <c r="M27" s="113"/>
      <c r="N27" s="36"/>
      <c r="O27" s="108"/>
      <c r="P27" s="108" t="str">
        <f aca="false">IF(ISBLANK(M27),"",M27*O27)</f>
        <v/>
      </c>
      <c r="Q27" s="103"/>
      <c r="R27" s="113"/>
      <c r="S27" s="36"/>
      <c r="T27" s="108"/>
      <c r="U27" s="108" t="str">
        <f aca="false">IF(ISBLANK(R27),"",R27*T27)</f>
        <v/>
      </c>
      <c r="V27" s="103"/>
      <c r="W27" s="108"/>
      <c r="X27" s="36"/>
      <c r="Y27" s="108"/>
      <c r="Z27" s="108" t="str">
        <f aca="false">IF(ISBLANK(W27),"",W27*Y27)</f>
        <v/>
      </c>
      <c r="AA27" s="103"/>
      <c r="AB27" s="108"/>
      <c r="AC27" s="36"/>
      <c r="AD27" s="108"/>
      <c r="AE27" s="108" t="str">
        <f aca="false">IF(ISBLANK(AB27),"",AB27*AD27)</f>
        <v/>
      </c>
      <c r="AF27" s="103"/>
      <c r="AG27" s="108"/>
      <c r="AH27" s="36"/>
      <c r="AI27" s="108"/>
      <c r="AJ27" s="108" t="str">
        <f aca="false">IF(ISBLANK(AG27),"",AG27*AI27)</f>
        <v/>
      </c>
      <c r="AK27" s="103"/>
      <c r="AL27" s="108"/>
      <c r="AM27" s="36"/>
      <c r="AN27" s="108"/>
      <c r="AO27" s="108" t="str">
        <f aca="false">IF(ISBLANK(AL27),"",AL27*AN27)</f>
        <v/>
      </c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112" t="s">
        <v>288</v>
      </c>
      <c r="C28" s="113" t="n">
        <v>150</v>
      </c>
      <c r="D28" s="36" t="s">
        <v>116</v>
      </c>
      <c r="E28" s="108" t="n">
        <v>150</v>
      </c>
      <c r="F28" s="108" t="n">
        <f aca="false">IF(ISBLANK(C28),"",C28*E28)</f>
        <v>22500</v>
      </c>
      <c r="G28" s="103"/>
      <c r="H28" s="113" t="n">
        <v>150</v>
      </c>
      <c r="I28" s="36" t="s">
        <v>116</v>
      </c>
      <c r="J28" s="108" t="n">
        <v>150</v>
      </c>
      <c r="K28" s="108" t="n">
        <f aca="false">IF(ISBLANK(H28),"",H28*J28)</f>
        <v>22500</v>
      </c>
      <c r="L28" s="103"/>
      <c r="M28" s="113" t="n">
        <v>150</v>
      </c>
      <c r="N28" s="36" t="s">
        <v>116</v>
      </c>
      <c r="O28" s="108" t="n">
        <v>150</v>
      </c>
      <c r="P28" s="108" t="n">
        <f aca="false">IF(ISBLANK(M28),"",M28*O28)</f>
        <v>22500</v>
      </c>
      <c r="Q28" s="103"/>
      <c r="R28" s="113" t="n">
        <v>150</v>
      </c>
      <c r="S28" s="36" t="s">
        <v>116</v>
      </c>
      <c r="T28" s="108" t="n">
        <v>150</v>
      </c>
      <c r="U28" s="108" t="n">
        <f aca="false">IF(ISBLANK(R28),"",R28*T28)</f>
        <v>22500</v>
      </c>
      <c r="V28" s="103"/>
      <c r="W28" s="108"/>
      <c r="X28" s="36" t="s">
        <v>116</v>
      </c>
      <c r="Y28" s="108"/>
      <c r="Z28" s="108" t="str">
        <f aca="false">IF(ISBLANK(W28),"",W28*Y28)</f>
        <v/>
      </c>
      <c r="AA28" s="103"/>
      <c r="AB28" s="108"/>
      <c r="AC28" s="36" t="s">
        <v>116</v>
      </c>
      <c r="AD28" s="108"/>
      <c r="AE28" s="108" t="str">
        <f aca="false">IF(ISBLANK(AB28),"",AB28*AD28)</f>
        <v/>
      </c>
      <c r="AF28" s="103"/>
      <c r="AG28" s="108"/>
      <c r="AH28" s="36" t="s">
        <v>116</v>
      </c>
      <c r="AI28" s="108"/>
      <c r="AJ28" s="108" t="str">
        <f aca="false">IF(ISBLANK(AG28),"",AG28*AI28)</f>
        <v/>
      </c>
      <c r="AK28" s="103"/>
      <c r="AL28" s="108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112"/>
      <c r="C29" s="113"/>
      <c r="D29" s="36"/>
      <c r="E29" s="108"/>
      <c r="F29" s="108" t="str">
        <f aca="false">IF(ISBLANK(C29),"",C29*E29)</f>
        <v/>
      </c>
      <c r="G29" s="103"/>
      <c r="H29" s="113"/>
      <c r="I29" s="36"/>
      <c r="J29" s="108"/>
      <c r="K29" s="108" t="str">
        <f aca="false">IF(ISBLANK(H29),"",H29*J29)</f>
        <v/>
      </c>
      <c r="L29" s="103"/>
      <c r="M29" s="113"/>
      <c r="N29" s="36"/>
      <c r="O29" s="108"/>
      <c r="P29" s="108" t="str">
        <f aca="false">IF(ISBLANK(M29),"",M29*O29)</f>
        <v/>
      </c>
      <c r="Q29" s="103"/>
      <c r="R29" s="113"/>
      <c r="S29" s="36"/>
      <c r="T29" s="108"/>
      <c r="U29" s="108" t="str">
        <f aca="false">IF(ISBLANK(R29),"",R29*T29)</f>
        <v/>
      </c>
      <c r="V29" s="103"/>
      <c r="W29" s="108"/>
      <c r="X29" s="36"/>
      <c r="Y29" s="108"/>
      <c r="Z29" s="108" t="str">
        <f aca="false">IF(ISBLANK(W29),"",W29*Y29)</f>
        <v/>
      </c>
      <c r="AA29" s="103"/>
      <c r="AB29" s="108"/>
      <c r="AC29" s="36"/>
      <c r="AD29" s="108"/>
      <c r="AE29" s="108" t="str">
        <f aca="false">IF(ISBLANK(AB29),"",AB29*AD29)</f>
        <v/>
      </c>
      <c r="AF29" s="103"/>
      <c r="AG29" s="108"/>
      <c r="AH29" s="36"/>
      <c r="AI29" s="108"/>
      <c r="AJ29" s="108" t="str">
        <f aca="false">IF(ISBLANK(AG29),"",AG29*AI29)</f>
        <v/>
      </c>
      <c r="AK29" s="103"/>
      <c r="AL29" s="108"/>
      <c r="AM29" s="36"/>
      <c r="AN29" s="108"/>
      <c r="AO29" s="108" t="str">
        <f aca="false">IF(ISBLANK(AL29),"",AL29*AN29)</f>
        <v/>
      </c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112" t="s">
        <v>289</v>
      </c>
      <c r="C30" s="113" t="n">
        <v>350</v>
      </c>
      <c r="D30" s="36" t="s">
        <v>116</v>
      </c>
      <c r="E30" s="108" t="n">
        <v>150</v>
      </c>
      <c r="F30" s="108" t="n">
        <f aca="false">IF(ISBLANK(C30),"",C30*E30)</f>
        <v>52500</v>
      </c>
      <c r="G30" s="103"/>
      <c r="H30" s="113" t="n">
        <v>350</v>
      </c>
      <c r="I30" s="36" t="s">
        <v>116</v>
      </c>
      <c r="J30" s="108" t="n">
        <v>150</v>
      </c>
      <c r="K30" s="108" t="n">
        <f aca="false">IF(ISBLANK(H30),"",H30*J30)</f>
        <v>52500</v>
      </c>
      <c r="L30" s="103"/>
      <c r="M30" s="113" t="n">
        <v>350</v>
      </c>
      <c r="N30" s="36" t="s">
        <v>116</v>
      </c>
      <c r="O30" s="108" t="n">
        <v>150</v>
      </c>
      <c r="P30" s="108" t="n">
        <f aca="false">IF(ISBLANK(M30),"",M30*O30)</f>
        <v>52500</v>
      </c>
      <c r="Q30" s="103"/>
      <c r="R30" s="113" t="n">
        <v>350</v>
      </c>
      <c r="S30" s="36" t="s">
        <v>116</v>
      </c>
      <c r="T30" s="108" t="n">
        <v>150</v>
      </c>
      <c r="U30" s="108" t="n">
        <f aca="false">IF(ISBLANK(R30),"",R30*T30)</f>
        <v>52500</v>
      </c>
      <c r="V30" s="103"/>
      <c r="W30" s="108"/>
      <c r="X30" s="36" t="s">
        <v>116</v>
      </c>
      <c r="Y30" s="108"/>
      <c r="Z30" s="108" t="str">
        <f aca="false">IF(ISBLANK(W30),"",W30*Y30)</f>
        <v/>
      </c>
      <c r="AA30" s="103"/>
      <c r="AB30" s="108"/>
      <c r="AC30" s="36" t="s">
        <v>116</v>
      </c>
      <c r="AD30" s="108"/>
      <c r="AE30" s="108" t="str">
        <f aca="false">IF(ISBLANK(AB30),"",AB30*AD30)</f>
        <v/>
      </c>
      <c r="AF30" s="103"/>
      <c r="AG30" s="108"/>
      <c r="AH30" s="36" t="s">
        <v>116</v>
      </c>
      <c r="AI30" s="108"/>
      <c r="AJ30" s="108" t="str">
        <f aca="false">IF(ISBLANK(AG30),"",AG30*AI30)</f>
        <v/>
      </c>
      <c r="AK30" s="103"/>
      <c r="AL30" s="108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112"/>
      <c r="C31" s="113"/>
      <c r="D31" s="36"/>
      <c r="E31" s="108"/>
      <c r="F31" s="108" t="str">
        <f aca="false">IF(ISBLANK(C31),"",C31*E31)</f>
        <v/>
      </c>
      <c r="G31" s="103"/>
      <c r="H31" s="113"/>
      <c r="I31" s="36"/>
      <c r="J31" s="108"/>
      <c r="K31" s="108" t="str">
        <f aca="false">IF(ISBLANK(H31),"",H31*J31)</f>
        <v/>
      </c>
      <c r="L31" s="103"/>
      <c r="M31" s="113"/>
      <c r="N31" s="36"/>
      <c r="O31" s="108"/>
      <c r="P31" s="108" t="str">
        <f aca="false">IF(ISBLANK(M31),"",M31*O31)</f>
        <v/>
      </c>
      <c r="Q31" s="103"/>
      <c r="R31" s="113"/>
      <c r="S31" s="36"/>
      <c r="T31" s="108"/>
      <c r="U31" s="108" t="str">
        <f aca="false">IF(ISBLANK(R31),"",R31*T31)</f>
        <v/>
      </c>
      <c r="V31" s="103"/>
      <c r="W31" s="108"/>
      <c r="X31" s="36"/>
      <c r="Y31" s="108"/>
      <c r="Z31" s="108" t="str">
        <f aca="false">IF(ISBLANK(W31),"",W31*Y31)</f>
        <v/>
      </c>
      <c r="AA31" s="103"/>
      <c r="AB31" s="108"/>
      <c r="AC31" s="36"/>
      <c r="AD31" s="108"/>
      <c r="AE31" s="108" t="str">
        <f aca="false">IF(ISBLANK(AB31),"",AB31*AD31)</f>
        <v/>
      </c>
      <c r="AF31" s="103"/>
      <c r="AG31" s="108"/>
      <c r="AH31" s="36"/>
      <c r="AI31" s="108"/>
      <c r="AJ31" s="108" t="str">
        <f aca="false">IF(ISBLANK(AG31),"",AG31*AI31)</f>
        <v/>
      </c>
      <c r="AK31" s="103"/>
      <c r="AL31" s="108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112" t="s">
        <v>290</v>
      </c>
      <c r="C32" s="113" t="n">
        <v>2</v>
      </c>
      <c r="D32" s="36" t="s">
        <v>282</v>
      </c>
      <c r="E32" s="108" t="n">
        <v>350</v>
      </c>
      <c r="F32" s="108" t="n">
        <f aca="false">IF(ISBLANK(C32),"",C32*E32)</f>
        <v>700</v>
      </c>
      <c r="G32" s="103"/>
      <c r="H32" s="113" t="n">
        <v>2</v>
      </c>
      <c r="I32" s="36" t="s">
        <v>282</v>
      </c>
      <c r="J32" s="108" t="n">
        <v>350</v>
      </c>
      <c r="K32" s="108" t="n">
        <f aca="false">IF(ISBLANK(H32),"",H32*J32)</f>
        <v>700</v>
      </c>
      <c r="L32" s="103"/>
      <c r="M32" s="113" t="n">
        <v>2</v>
      </c>
      <c r="N32" s="36" t="s">
        <v>282</v>
      </c>
      <c r="O32" s="108" t="n">
        <v>350</v>
      </c>
      <c r="P32" s="108" t="n">
        <f aca="false">IF(ISBLANK(M32),"",M32*O32)</f>
        <v>700</v>
      </c>
      <c r="Q32" s="103"/>
      <c r="R32" s="113" t="n">
        <v>2</v>
      </c>
      <c r="S32" s="36" t="s">
        <v>282</v>
      </c>
      <c r="T32" s="108" t="n">
        <v>350</v>
      </c>
      <c r="U32" s="108" t="n">
        <f aca="false">IF(ISBLANK(R32),"",R32*T32)</f>
        <v>700</v>
      </c>
      <c r="V32" s="103"/>
      <c r="W32" s="108"/>
      <c r="X32" s="36" t="s">
        <v>282</v>
      </c>
      <c r="Y32" s="108"/>
      <c r="Z32" s="108" t="str">
        <f aca="false">IF(ISBLANK(W32),"",W32*Y32)</f>
        <v/>
      </c>
      <c r="AA32" s="103"/>
      <c r="AB32" s="108"/>
      <c r="AC32" s="36" t="s">
        <v>282</v>
      </c>
      <c r="AD32" s="108"/>
      <c r="AE32" s="108" t="str">
        <f aca="false">IF(ISBLANK(AB32),"",AB32*AD32)</f>
        <v/>
      </c>
      <c r="AF32" s="103"/>
      <c r="AG32" s="108"/>
      <c r="AH32" s="36" t="s">
        <v>282</v>
      </c>
      <c r="AI32" s="108"/>
      <c r="AJ32" s="108" t="str">
        <f aca="false">IF(ISBLANK(AG32),"",AG32*AI32)</f>
        <v/>
      </c>
      <c r="AK32" s="103"/>
      <c r="AL32" s="108"/>
      <c r="AM32" s="36" t="s">
        <v>282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112"/>
      <c r="C33" s="113"/>
      <c r="D33" s="36"/>
      <c r="E33" s="108"/>
      <c r="F33" s="108" t="str">
        <f aca="false">IF(ISBLANK(C33),"",C33*E33)</f>
        <v/>
      </c>
      <c r="G33" s="103"/>
      <c r="H33" s="113"/>
      <c r="I33" s="36"/>
      <c r="J33" s="108"/>
      <c r="K33" s="108" t="str">
        <f aca="false">IF(ISBLANK(H33),"",H33*J33)</f>
        <v/>
      </c>
      <c r="L33" s="103"/>
      <c r="M33" s="113"/>
      <c r="N33" s="36"/>
      <c r="O33" s="108"/>
      <c r="P33" s="108" t="str">
        <f aca="false">IF(ISBLANK(M33),"",M33*O33)</f>
        <v/>
      </c>
      <c r="Q33" s="103"/>
      <c r="R33" s="113"/>
      <c r="S33" s="36"/>
      <c r="T33" s="108"/>
      <c r="U33" s="108" t="str">
        <f aca="false">IF(ISBLANK(R33),"",R33*T33)</f>
        <v/>
      </c>
      <c r="V33" s="103"/>
      <c r="W33" s="108"/>
      <c r="X33" s="36"/>
      <c r="Y33" s="108"/>
      <c r="Z33" s="108" t="str">
        <f aca="false">IF(ISBLANK(W33),"",W33*Y33)</f>
        <v/>
      </c>
      <c r="AA33" s="103"/>
      <c r="AB33" s="108"/>
      <c r="AC33" s="36"/>
      <c r="AD33" s="108"/>
      <c r="AE33" s="108" t="str">
        <f aca="false">IF(ISBLANK(AB33),"",AB33*AD33)</f>
        <v/>
      </c>
      <c r="AF33" s="103"/>
      <c r="AG33" s="108"/>
      <c r="AH33" s="36"/>
      <c r="AI33" s="108"/>
      <c r="AJ33" s="108" t="str">
        <f aca="false">IF(ISBLANK(AG33),"",AG33*AI33)</f>
        <v/>
      </c>
      <c r="AK33" s="103"/>
      <c r="AL33" s="108"/>
      <c r="AM33" s="36"/>
      <c r="AN33" s="108"/>
      <c r="AO33" s="108" t="str">
        <f aca="false">IF(ISBLANK(AL33),"",AL33*AN33)</f>
        <v/>
      </c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112" t="s">
        <v>291</v>
      </c>
      <c r="C34" s="113" t="n">
        <v>4</v>
      </c>
      <c r="D34" s="36" t="s">
        <v>282</v>
      </c>
      <c r="E34" s="108" t="n">
        <v>350</v>
      </c>
      <c r="F34" s="108" t="n">
        <f aca="false">IF(ISBLANK(C34),"",C34*E34)</f>
        <v>1400</v>
      </c>
      <c r="G34" s="103"/>
      <c r="H34" s="113" t="n">
        <v>4</v>
      </c>
      <c r="I34" s="36" t="s">
        <v>282</v>
      </c>
      <c r="J34" s="108" t="n">
        <v>350</v>
      </c>
      <c r="K34" s="108" t="n">
        <f aca="false">IF(ISBLANK(H34),"",H34*J34)</f>
        <v>1400</v>
      </c>
      <c r="L34" s="103"/>
      <c r="M34" s="113" t="n">
        <v>4</v>
      </c>
      <c r="N34" s="36" t="s">
        <v>282</v>
      </c>
      <c r="O34" s="108" t="n">
        <v>350</v>
      </c>
      <c r="P34" s="108" t="n">
        <f aca="false">IF(ISBLANK(M34),"",M34*O34)</f>
        <v>1400</v>
      </c>
      <c r="Q34" s="103"/>
      <c r="R34" s="113" t="n">
        <v>4</v>
      </c>
      <c r="S34" s="36" t="s">
        <v>282</v>
      </c>
      <c r="T34" s="108" t="n">
        <v>350</v>
      </c>
      <c r="U34" s="108" t="n">
        <f aca="false">IF(ISBLANK(R34),"",R34*T34)</f>
        <v>1400</v>
      </c>
      <c r="V34" s="103"/>
      <c r="W34" s="108"/>
      <c r="X34" s="36" t="s">
        <v>282</v>
      </c>
      <c r="Y34" s="108"/>
      <c r="Z34" s="108" t="str">
        <f aca="false">IF(ISBLANK(W34),"",W34*Y34)</f>
        <v/>
      </c>
      <c r="AA34" s="103"/>
      <c r="AB34" s="108"/>
      <c r="AC34" s="36" t="s">
        <v>282</v>
      </c>
      <c r="AD34" s="108"/>
      <c r="AE34" s="108" t="str">
        <f aca="false">IF(ISBLANK(AB34),"",AB34*AD34)</f>
        <v/>
      </c>
      <c r="AF34" s="103"/>
      <c r="AG34" s="108"/>
      <c r="AH34" s="36" t="s">
        <v>282</v>
      </c>
      <c r="AI34" s="108"/>
      <c r="AJ34" s="108" t="str">
        <f aca="false">IF(ISBLANK(AG34),"",AG34*AI34)</f>
        <v/>
      </c>
      <c r="AK34" s="103"/>
      <c r="AL34" s="108"/>
      <c r="AM34" s="36" t="s">
        <v>282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112"/>
      <c r="C35" s="113"/>
      <c r="D35" s="36"/>
      <c r="E35" s="108"/>
      <c r="F35" s="108" t="str">
        <f aca="false">IF(ISBLANK(C35),"",C35*E35)</f>
        <v/>
      </c>
      <c r="G35" s="103"/>
      <c r="H35" s="113"/>
      <c r="I35" s="36"/>
      <c r="J35" s="108"/>
      <c r="K35" s="108" t="str">
        <f aca="false">IF(ISBLANK(H35),"",H35*J35)</f>
        <v/>
      </c>
      <c r="L35" s="103"/>
      <c r="M35" s="113"/>
      <c r="N35" s="36"/>
      <c r="O35" s="108"/>
      <c r="P35" s="108" t="str">
        <f aca="false">IF(ISBLANK(M35),"",M35*O35)</f>
        <v/>
      </c>
      <c r="Q35" s="103"/>
      <c r="R35" s="113"/>
      <c r="S35" s="36"/>
      <c r="T35" s="108"/>
      <c r="U35" s="108" t="str">
        <f aca="false">IF(ISBLANK(R35),"",R35*T35)</f>
        <v/>
      </c>
      <c r="V35" s="103"/>
      <c r="W35" s="108"/>
      <c r="X35" s="36"/>
      <c r="Y35" s="108"/>
      <c r="Z35" s="108" t="str">
        <f aca="false">IF(ISBLANK(W35),"",W35*Y35)</f>
        <v/>
      </c>
      <c r="AA35" s="103"/>
      <c r="AB35" s="108"/>
      <c r="AC35" s="36"/>
      <c r="AD35" s="108"/>
      <c r="AE35" s="108" t="str">
        <f aca="false">IF(ISBLANK(AB35),"",AB35*AD35)</f>
        <v/>
      </c>
      <c r="AF35" s="103"/>
      <c r="AG35" s="108"/>
      <c r="AH35" s="36"/>
      <c r="AI35" s="108"/>
      <c r="AJ35" s="108" t="str">
        <f aca="false">IF(ISBLANK(AG35),"",AG35*AI35)</f>
        <v/>
      </c>
      <c r="AK35" s="103"/>
      <c r="AL35" s="108"/>
      <c r="AM35" s="36"/>
      <c r="AN35" s="108"/>
      <c r="AO35" s="108" t="str">
        <f aca="false">IF(ISBLANK(AL35),"",AL35*AN35)</f>
        <v/>
      </c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112" t="s">
        <v>292</v>
      </c>
      <c r="C36" s="113" t="n">
        <v>5</v>
      </c>
      <c r="D36" s="36" t="s">
        <v>282</v>
      </c>
      <c r="E36" s="108" t="n">
        <v>350</v>
      </c>
      <c r="F36" s="108" t="n">
        <f aca="false">IF(ISBLANK(C36),"",C36*E36)</f>
        <v>1750</v>
      </c>
      <c r="G36" s="103"/>
      <c r="H36" s="113" t="n">
        <v>5</v>
      </c>
      <c r="I36" s="36" t="s">
        <v>282</v>
      </c>
      <c r="J36" s="108" t="n">
        <v>350</v>
      </c>
      <c r="K36" s="108" t="n">
        <f aca="false">IF(ISBLANK(H36),"",H36*J36)</f>
        <v>1750</v>
      </c>
      <c r="L36" s="103"/>
      <c r="M36" s="113" t="n">
        <v>5</v>
      </c>
      <c r="N36" s="36" t="s">
        <v>282</v>
      </c>
      <c r="O36" s="108" t="n">
        <v>350</v>
      </c>
      <c r="P36" s="108" t="n">
        <f aca="false">IF(ISBLANK(M36),"",M36*O36)</f>
        <v>1750</v>
      </c>
      <c r="Q36" s="103"/>
      <c r="R36" s="113" t="n">
        <v>5</v>
      </c>
      <c r="S36" s="36" t="s">
        <v>282</v>
      </c>
      <c r="T36" s="108" t="n">
        <v>350</v>
      </c>
      <c r="U36" s="108" t="n">
        <f aca="false">IF(ISBLANK(R36),"",R36*T36)</f>
        <v>1750</v>
      </c>
      <c r="V36" s="103"/>
      <c r="W36" s="108"/>
      <c r="X36" s="36" t="s">
        <v>282</v>
      </c>
      <c r="Y36" s="108"/>
      <c r="Z36" s="108" t="str">
        <f aca="false">IF(ISBLANK(W36),"",W36*Y36)</f>
        <v/>
      </c>
      <c r="AA36" s="103"/>
      <c r="AB36" s="108"/>
      <c r="AC36" s="36" t="s">
        <v>282</v>
      </c>
      <c r="AD36" s="108"/>
      <c r="AE36" s="108" t="str">
        <f aca="false">IF(ISBLANK(AB36),"",AB36*AD36)</f>
        <v/>
      </c>
      <c r="AF36" s="103"/>
      <c r="AG36" s="108"/>
      <c r="AH36" s="36" t="s">
        <v>282</v>
      </c>
      <c r="AI36" s="108"/>
      <c r="AJ36" s="108" t="str">
        <f aca="false">IF(ISBLANK(AG36),"",AG36*AI36)</f>
        <v/>
      </c>
      <c r="AK36" s="103"/>
      <c r="AL36" s="108"/>
      <c r="AM36" s="36" t="s">
        <v>282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112"/>
      <c r="C37" s="113"/>
      <c r="D37" s="36"/>
      <c r="E37" s="108"/>
      <c r="F37" s="108" t="str">
        <f aca="false">IF(ISBLANK(C37),"",C37*E37)</f>
        <v/>
      </c>
      <c r="G37" s="103"/>
      <c r="H37" s="113"/>
      <c r="I37" s="36"/>
      <c r="J37" s="108"/>
      <c r="K37" s="108" t="str">
        <f aca="false">IF(ISBLANK(H37),"",H37*J37)</f>
        <v/>
      </c>
      <c r="L37" s="103"/>
      <c r="M37" s="113"/>
      <c r="N37" s="36"/>
      <c r="O37" s="108"/>
      <c r="P37" s="108" t="str">
        <f aca="false">IF(ISBLANK(M37),"",M37*O37)</f>
        <v/>
      </c>
      <c r="Q37" s="103"/>
      <c r="R37" s="113"/>
      <c r="S37" s="36"/>
      <c r="T37" s="108"/>
      <c r="U37" s="108" t="str">
        <f aca="false">IF(ISBLANK(R37),"",R37*T37)</f>
        <v/>
      </c>
      <c r="V37" s="103"/>
      <c r="W37" s="108"/>
      <c r="X37" s="36"/>
      <c r="Y37" s="108"/>
      <c r="Z37" s="108" t="str">
        <f aca="false">IF(ISBLANK(W37),"",W37*Y37)</f>
        <v/>
      </c>
      <c r="AA37" s="103"/>
      <c r="AB37" s="108"/>
      <c r="AC37" s="36"/>
      <c r="AD37" s="108"/>
      <c r="AE37" s="108" t="str">
        <f aca="false">IF(ISBLANK(AB37),"",AB37*AD37)</f>
        <v/>
      </c>
      <c r="AF37" s="103"/>
      <c r="AG37" s="108"/>
      <c r="AH37" s="36"/>
      <c r="AI37" s="108"/>
      <c r="AJ37" s="108" t="str">
        <f aca="false">IF(ISBLANK(AG37),"",AG37*AI37)</f>
        <v/>
      </c>
      <c r="AK37" s="103"/>
      <c r="AL37" s="108"/>
      <c r="AM37" s="36"/>
      <c r="AN37" s="108"/>
      <c r="AO37" s="108" t="str">
        <f aca="false">IF(ISBLANK(AL37),"",AL37*AN37)</f>
        <v/>
      </c>
      <c r="AP37" s="103"/>
    </row>
    <row r="38" customFormat="false" ht="12.75" hidden="false" customHeight="true" outlineLevel="0" collapsed="false">
      <c r="A38" s="174" t="n">
        <f aca="false">IF(B38&gt;0,IF(C38&gt;0,MAX($A$5:A37)+1," ")," ")</f>
        <v>16</v>
      </c>
      <c r="B38" s="112" t="s">
        <v>293</v>
      </c>
      <c r="C38" s="113" t="n">
        <v>2</v>
      </c>
      <c r="D38" s="36" t="s">
        <v>118</v>
      </c>
      <c r="E38" s="108" t="n">
        <v>3500</v>
      </c>
      <c r="F38" s="108" t="n">
        <f aca="false">IF(ISBLANK(C38),"",C38*E38)</f>
        <v>7000</v>
      </c>
      <c r="G38" s="103"/>
      <c r="H38" s="113" t="n">
        <v>2</v>
      </c>
      <c r="I38" s="36" t="s">
        <v>118</v>
      </c>
      <c r="J38" s="108" t="n">
        <v>3500</v>
      </c>
      <c r="K38" s="108" t="n">
        <f aca="false">IF(ISBLANK(H38),"",H38*J38)</f>
        <v>7000</v>
      </c>
      <c r="L38" s="103"/>
      <c r="M38" s="113" t="n">
        <v>2</v>
      </c>
      <c r="N38" s="36" t="s">
        <v>118</v>
      </c>
      <c r="O38" s="108" t="n">
        <v>3500</v>
      </c>
      <c r="P38" s="108" t="n">
        <f aca="false">IF(ISBLANK(M38),"",M38*O38)</f>
        <v>7000</v>
      </c>
      <c r="Q38" s="103"/>
      <c r="R38" s="113" t="n">
        <v>2</v>
      </c>
      <c r="S38" s="36" t="s">
        <v>118</v>
      </c>
      <c r="T38" s="108" t="n">
        <v>3500</v>
      </c>
      <c r="U38" s="108" t="n">
        <f aca="false">IF(ISBLANK(R38),"",R38*T38)</f>
        <v>7000</v>
      </c>
      <c r="V38" s="103"/>
      <c r="W38" s="108"/>
      <c r="X38" s="36" t="s">
        <v>118</v>
      </c>
      <c r="Y38" s="108"/>
      <c r="Z38" s="108" t="str">
        <f aca="false">IF(ISBLANK(W38),"",W38*Y38)</f>
        <v/>
      </c>
      <c r="AA38" s="103"/>
      <c r="AB38" s="108"/>
      <c r="AC38" s="36" t="s">
        <v>118</v>
      </c>
      <c r="AD38" s="108"/>
      <c r="AE38" s="108" t="str">
        <f aca="false">IF(ISBLANK(AB38),"",AB38*AD38)</f>
        <v/>
      </c>
      <c r="AF38" s="103"/>
      <c r="AG38" s="108"/>
      <c r="AH38" s="36" t="s">
        <v>118</v>
      </c>
      <c r="AI38" s="108"/>
      <c r="AJ38" s="108" t="str">
        <f aca="false">IF(ISBLANK(AG38),"",AG38*AI38)</f>
        <v/>
      </c>
      <c r="AK38" s="103"/>
      <c r="AL38" s="108"/>
      <c r="AM38" s="36" t="s">
        <v>118</v>
      </c>
      <c r="AN38" s="108"/>
      <c r="AO38" s="108" t="str">
        <f aca="false">IF(ISBLANK(AL38),"",AL38*AN38)</f>
        <v/>
      </c>
      <c r="AP38" s="103"/>
    </row>
    <row r="39" customFormat="false" ht="12.75" hidden="false" customHeight="true" outlineLevel="0" collapsed="false">
      <c r="A39" s="174" t="str">
        <f aca="false">IF(B39&gt;0,IF(C39&gt;0,MAX($A$5:A38)+1," ")," ")</f>
        <v> </v>
      </c>
      <c r="B39" s="112"/>
      <c r="C39" s="113"/>
      <c r="D39" s="36"/>
      <c r="E39" s="108"/>
      <c r="F39" s="108" t="str">
        <f aca="false">IF(ISBLANK(C39),"",C39*E39)</f>
        <v/>
      </c>
      <c r="G39" s="103"/>
      <c r="H39" s="113"/>
      <c r="I39" s="36"/>
      <c r="J39" s="108"/>
      <c r="K39" s="108" t="str">
        <f aca="false">IF(ISBLANK(H39),"",H39*J39)</f>
        <v/>
      </c>
      <c r="L39" s="103"/>
      <c r="M39" s="113"/>
      <c r="N39" s="36"/>
      <c r="O39" s="108"/>
      <c r="P39" s="108" t="str">
        <f aca="false">IF(ISBLANK(M39),"",M39*O39)</f>
        <v/>
      </c>
      <c r="Q39" s="103"/>
      <c r="R39" s="113"/>
      <c r="S39" s="36"/>
      <c r="T39" s="108"/>
      <c r="U39" s="108" t="str">
        <f aca="false">IF(ISBLANK(R39),"",R39*T39)</f>
        <v/>
      </c>
      <c r="V39" s="103"/>
      <c r="W39" s="108"/>
      <c r="X39" s="36"/>
      <c r="Y39" s="108"/>
      <c r="Z39" s="108" t="str">
        <f aca="false">IF(ISBLANK(W39),"",W39*Y39)</f>
        <v/>
      </c>
      <c r="AA39" s="103"/>
      <c r="AB39" s="108"/>
      <c r="AC39" s="36"/>
      <c r="AD39" s="108"/>
      <c r="AE39" s="108" t="str">
        <f aca="false">IF(ISBLANK(AB39),"",AB39*AD39)</f>
        <v/>
      </c>
      <c r="AF39" s="103"/>
      <c r="AG39" s="108"/>
      <c r="AH39" s="36"/>
      <c r="AI39" s="108"/>
      <c r="AJ39" s="108" t="str">
        <f aca="false">IF(ISBLANK(AG39),"",AG39*AI39)</f>
        <v/>
      </c>
      <c r="AK39" s="103"/>
      <c r="AL39" s="108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112" t="s">
        <v>294</v>
      </c>
      <c r="C40" s="113" t="n">
        <v>1</v>
      </c>
      <c r="D40" s="36" t="s">
        <v>209</v>
      </c>
      <c r="E40" s="108" t="n">
        <v>1500</v>
      </c>
      <c r="F40" s="108" t="n">
        <f aca="false">IF(ISBLANK(C40),"",C40*E40)</f>
        <v>1500</v>
      </c>
      <c r="G40" s="103"/>
      <c r="H40" s="113" t="n">
        <v>1</v>
      </c>
      <c r="I40" s="36" t="s">
        <v>209</v>
      </c>
      <c r="J40" s="108" t="n">
        <v>1500</v>
      </c>
      <c r="K40" s="108" t="n">
        <f aca="false">IF(ISBLANK(H40),"",H40*J40)</f>
        <v>1500</v>
      </c>
      <c r="L40" s="103"/>
      <c r="M40" s="113" t="n">
        <v>1</v>
      </c>
      <c r="N40" s="36" t="s">
        <v>209</v>
      </c>
      <c r="O40" s="108" t="n">
        <v>1500</v>
      </c>
      <c r="P40" s="108" t="n">
        <f aca="false">IF(ISBLANK(M40),"",M40*O40)</f>
        <v>1500</v>
      </c>
      <c r="Q40" s="103"/>
      <c r="R40" s="113" t="n">
        <v>1</v>
      </c>
      <c r="S40" s="36" t="s">
        <v>209</v>
      </c>
      <c r="T40" s="108" t="n">
        <v>1500</v>
      </c>
      <c r="U40" s="108" t="n">
        <f aca="false">IF(ISBLANK(R40),"",R40*T40)</f>
        <v>1500</v>
      </c>
      <c r="V40" s="103"/>
      <c r="W40" s="108"/>
      <c r="X40" s="36" t="s">
        <v>209</v>
      </c>
      <c r="Y40" s="108"/>
      <c r="Z40" s="108" t="str">
        <f aca="false">IF(ISBLANK(W40),"",W40*Y40)</f>
        <v/>
      </c>
      <c r="AA40" s="103"/>
      <c r="AB40" s="108"/>
      <c r="AC40" s="36" t="s">
        <v>209</v>
      </c>
      <c r="AD40" s="108"/>
      <c r="AE40" s="108" t="str">
        <f aca="false">IF(ISBLANK(AB40),"",AB40*AD40)</f>
        <v/>
      </c>
      <c r="AF40" s="103"/>
      <c r="AG40" s="108"/>
      <c r="AH40" s="36" t="s">
        <v>209</v>
      </c>
      <c r="AI40" s="108"/>
      <c r="AJ40" s="108" t="str">
        <f aca="false">IF(ISBLANK(AG40),"",AG40*AI40)</f>
        <v/>
      </c>
      <c r="AK40" s="103"/>
      <c r="AL40" s="108"/>
      <c r="AM40" s="36" t="s">
        <v>209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112"/>
      <c r="C41" s="113"/>
      <c r="D41" s="36"/>
      <c r="E41" s="108"/>
      <c r="F41" s="108" t="str">
        <f aca="false">IF(ISBLANK(C41),"",C41*E41)</f>
        <v/>
      </c>
      <c r="G41" s="103"/>
      <c r="H41" s="113"/>
      <c r="I41" s="36"/>
      <c r="J41" s="108"/>
      <c r="K41" s="108" t="str">
        <f aca="false">IF(ISBLANK(H41),"",H41*J41)</f>
        <v/>
      </c>
      <c r="L41" s="103"/>
      <c r="M41" s="113"/>
      <c r="N41" s="36"/>
      <c r="O41" s="108"/>
      <c r="P41" s="108" t="str">
        <f aca="false">IF(ISBLANK(M41),"",M41*O41)</f>
        <v/>
      </c>
      <c r="Q41" s="103"/>
      <c r="R41" s="113"/>
      <c r="S41" s="36"/>
      <c r="T41" s="108"/>
      <c r="U41" s="108" t="str">
        <f aca="false">IF(ISBLANK(R41),"",R41*T41)</f>
        <v/>
      </c>
      <c r="V41" s="103"/>
      <c r="W41" s="108"/>
      <c r="X41" s="36"/>
      <c r="Y41" s="108"/>
      <c r="Z41" s="108" t="str">
        <f aca="false">IF(ISBLANK(W41),"",W41*Y41)</f>
        <v/>
      </c>
      <c r="AA41" s="103"/>
      <c r="AB41" s="108"/>
      <c r="AC41" s="36"/>
      <c r="AD41" s="108"/>
      <c r="AE41" s="108" t="str">
        <f aca="false">IF(ISBLANK(AB41),"",AB41*AD41)</f>
        <v/>
      </c>
      <c r="AF41" s="103"/>
      <c r="AG41" s="108"/>
      <c r="AH41" s="36"/>
      <c r="AI41" s="108"/>
      <c r="AJ41" s="108" t="str">
        <f aca="false">IF(ISBLANK(AG41),"",AG41*AI41)</f>
        <v/>
      </c>
      <c r="AK41" s="103"/>
      <c r="AL41" s="108"/>
      <c r="AM41" s="36"/>
      <c r="AN41" s="108"/>
      <c r="AO41" s="108" t="str">
        <f aca="false">IF(ISBLANK(AL41),"",AL41*AN41)</f>
        <v/>
      </c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112" t="s">
        <v>295</v>
      </c>
      <c r="C42" s="113" t="n">
        <v>8</v>
      </c>
      <c r="D42" s="36" t="s">
        <v>287</v>
      </c>
      <c r="E42" s="108" t="n">
        <v>3500</v>
      </c>
      <c r="F42" s="108" t="n">
        <f aca="false">IF(ISBLANK(C42),"",C42*E42)</f>
        <v>28000</v>
      </c>
      <c r="G42" s="103"/>
      <c r="H42" s="113" t="n">
        <v>8</v>
      </c>
      <c r="I42" s="36" t="s">
        <v>287</v>
      </c>
      <c r="J42" s="108" t="n">
        <v>3500</v>
      </c>
      <c r="K42" s="108" t="n">
        <f aca="false">IF(ISBLANK(H42),"",H42*J42)</f>
        <v>28000</v>
      </c>
      <c r="L42" s="103"/>
      <c r="M42" s="113" t="n">
        <v>8</v>
      </c>
      <c r="N42" s="36" t="s">
        <v>287</v>
      </c>
      <c r="O42" s="108" t="n">
        <v>3500</v>
      </c>
      <c r="P42" s="108" t="n">
        <f aca="false">IF(ISBLANK(M42),"",M42*O42)</f>
        <v>28000</v>
      </c>
      <c r="Q42" s="103"/>
      <c r="R42" s="113" t="n">
        <v>8</v>
      </c>
      <c r="S42" s="36" t="s">
        <v>287</v>
      </c>
      <c r="T42" s="108" t="n">
        <v>3500</v>
      </c>
      <c r="U42" s="108" t="n">
        <f aca="false">IF(ISBLANK(R42),"",R42*T42)</f>
        <v>28000</v>
      </c>
      <c r="V42" s="103"/>
      <c r="W42" s="108"/>
      <c r="X42" s="36" t="s">
        <v>287</v>
      </c>
      <c r="Y42" s="108"/>
      <c r="Z42" s="108" t="str">
        <f aca="false">IF(ISBLANK(W42),"",W42*Y42)</f>
        <v/>
      </c>
      <c r="AA42" s="103"/>
      <c r="AB42" s="108"/>
      <c r="AC42" s="36" t="s">
        <v>287</v>
      </c>
      <c r="AD42" s="108"/>
      <c r="AE42" s="108" t="str">
        <f aca="false">IF(ISBLANK(AB42),"",AB42*AD42)</f>
        <v/>
      </c>
      <c r="AF42" s="103"/>
      <c r="AG42" s="108"/>
      <c r="AH42" s="36" t="s">
        <v>287</v>
      </c>
      <c r="AI42" s="108"/>
      <c r="AJ42" s="108" t="str">
        <f aca="false">IF(ISBLANK(AG42),"",AG42*AI42)</f>
        <v/>
      </c>
      <c r="AK42" s="103"/>
      <c r="AL42" s="108"/>
      <c r="AM42" s="36" t="s">
        <v>287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112"/>
      <c r="C43" s="113"/>
      <c r="D43" s="36"/>
      <c r="E43" s="108"/>
      <c r="F43" s="108" t="str">
        <f aca="false">IF(ISBLANK(C43),"",C43*E43)</f>
        <v/>
      </c>
      <c r="G43" s="103"/>
      <c r="H43" s="113"/>
      <c r="I43" s="36"/>
      <c r="J43" s="108"/>
      <c r="K43" s="108" t="str">
        <f aca="false">IF(ISBLANK(H43),"",H43*J43)</f>
        <v/>
      </c>
      <c r="L43" s="103"/>
      <c r="M43" s="113"/>
      <c r="N43" s="36"/>
      <c r="O43" s="108"/>
      <c r="P43" s="108" t="str">
        <f aca="false">IF(ISBLANK(M43),"",M43*O43)</f>
        <v/>
      </c>
      <c r="Q43" s="103"/>
      <c r="R43" s="113"/>
      <c r="S43" s="36"/>
      <c r="T43" s="108"/>
      <c r="U43" s="108" t="str">
        <f aca="false">IF(ISBLANK(R43),"",R43*T43)</f>
        <v/>
      </c>
      <c r="V43" s="103"/>
      <c r="W43" s="108"/>
      <c r="X43" s="36"/>
      <c r="Y43" s="108"/>
      <c r="Z43" s="108" t="str">
        <f aca="false">IF(ISBLANK(W43),"",W43*Y43)</f>
        <v/>
      </c>
      <c r="AA43" s="103"/>
      <c r="AB43" s="108"/>
      <c r="AC43" s="36"/>
      <c r="AD43" s="108"/>
      <c r="AE43" s="108" t="str">
        <f aca="false">IF(ISBLANK(AB43),"",AB43*AD43)</f>
        <v/>
      </c>
      <c r="AF43" s="103"/>
      <c r="AG43" s="108"/>
      <c r="AH43" s="36"/>
      <c r="AI43" s="108"/>
      <c r="AJ43" s="108" t="str">
        <f aca="false">IF(ISBLANK(AG43),"",AG43*AI43)</f>
        <v/>
      </c>
      <c r="AK43" s="103"/>
      <c r="AL43" s="108"/>
      <c r="AM43" s="36"/>
      <c r="AN43" s="108"/>
      <c r="AO43" s="108" t="str">
        <f aca="false">IF(ISBLANK(AL43),"",AL43*AN43)</f>
        <v/>
      </c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112" t="s">
        <v>296</v>
      </c>
      <c r="C44" s="113" t="n">
        <v>8</v>
      </c>
      <c r="D44" s="36" t="s">
        <v>287</v>
      </c>
      <c r="E44" s="108" t="n">
        <v>3500</v>
      </c>
      <c r="F44" s="108" t="n">
        <f aca="false">IF(ISBLANK(C44),"",C44*E44)</f>
        <v>28000</v>
      </c>
      <c r="G44" s="103"/>
      <c r="H44" s="113" t="n">
        <v>8</v>
      </c>
      <c r="I44" s="36" t="s">
        <v>287</v>
      </c>
      <c r="J44" s="108" t="n">
        <v>3500</v>
      </c>
      <c r="K44" s="108" t="n">
        <f aca="false">IF(ISBLANK(H44),"",H44*J44)</f>
        <v>28000</v>
      </c>
      <c r="L44" s="103"/>
      <c r="M44" s="113" t="n">
        <v>8</v>
      </c>
      <c r="N44" s="36" t="s">
        <v>287</v>
      </c>
      <c r="O44" s="108" t="n">
        <v>3500</v>
      </c>
      <c r="P44" s="108" t="n">
        <f aca="false">IF(ISBLANK(M44),"",M44*O44)</f>
        <v>28000</v>
      </c>
      <c r="Q44" s="103"/>
      <c r="R44" s="113" t="n">
        <v>8</v>
      </c>
      <c r="S44" s="36" t="s">
        <v>287</v>
      </c>
      <c r="T44" s="108" t="n">
        <v>3500</v>
      </c>
      <c r="U44" s="108" t="n">
        <f aca="false">IF(ISBLANK(R44),"",R44*T44)</f>
        <v>28000</v>
      </c>
      <c r="V44" s="103"/>
      <c r="W44" s="108"/>
      <c r="X44" s="36" t="s">
        <v>287</v>
      </c>
      <c r="Y44" s="108"/>
      <c r="Z44" s="108" t="str">
        <f aca="false">IF(ISBLANK(W44),"",W44*Y44)</f>
        <v/>
      </c>
      <c r="AA44" s="103"/>
      <c r="AB44" s="108"/>
      <c r="AC44" s="36" t="s">
        <v>287</v>
      </c>
      <c r="AD44" s="108"/>
      <c r="AE44" s="108" t="str">
        <f aca="false">IF(ISBLANK(AB44),"",AB44*AD44)</f>
        <v/>
      </c>
      <c r="AF44" s="103"/>
      <c r="AG44" s="108"/>
      <c r="AH44" s="36" t="s">
        <v>287</v>
      </c>
      <c r="AI44" s="108"/>
      <c r="AJ44" s="108" t="str">
        <f aca="false">IF(ISBLANK(AG44),"",AG44*AI44)</f>
        <v/>
      </c>
      <c r="AK44" s="103"/>
      <c r="AL44" s="108"/>
      <c r="AM44" s="36" t="s">
        <v>287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112"/>
      <c r="C45" s="113"/>
      <c r="D45" s="36"/>
      <c r="E45" s="108"/>
      <c r="F45" s="108" t="str">
        <f aca="false">IF(ISBLANK(C45),"",C45*E45)</f>
        <v/>
      </c>
      <c r="G45" s="103"/>
      <c r="H45" s="113"/>
      <c r="I45" s="36"/>
      <c r="J45" s="108"/>
      <c r="K45" s="108" t="str">
        <f aca="false">IF(ISBLANK(H45),"",H45*J45)</f>
        <v/>
      </c>
      <c r="L45" s="103"/>
      <c r="M45" s="113"/>
      <c r="N45" s="36"/>
      <c r="O45" s="108"/>
      <c r="P45" s="108" t="str">
        <f aca="false">IF(ISBLANK(M45),"",M45*O45)</f>
        <v/>
      </c>
      <c r="Q45" s="103"/>
      <c r="R45" s="113"/>
      <c r="S45" s="36"/>
      <c r="T45" s="108"/>
      <c r="U45" s="108" t="str">
        <f aca="false">IF(ISBLANK(R45),"",R45*T45)</f>
        <v/>
      </c>
      <c r="V45" s="103"/>
      <c r="W45" s="108"/>
      <c r="X45" s="36"/>
      <c r="Y45" s="108"/>
      <c r="Z45" s="108" t="str">
        <f aca="false">IF(ISBLANK(W45),"",W45*Y45)</f>
        <v/>
      </c>
      <c r="AA45" s="103"/>
      <c r="AB45" s="108"/>
      <c r="AC45" s="36"/>
      <c r="AD45" s="108"/>
      <c r="AE45" s="108" t="str">
        <f aca="false">IF(ISBLANK(AB45),"",AB45*AD45)</f>
        <v/>
      </c>
      <c r="AF45" s="103"/>
      <c r="AG45" s="108"/>
      <c r="AH45" s="36"/>
      <c r="AI45" s="108"/>
      <c r="AJ45" s="108" t="str">
        <f aca="false">IF(ISBLANK(AG45),"",AG45*AI45)</f>
        <v/>
      </c>
      <c r="AK45" s="103"/>
      <c r="AL45" s="108"/>
      <c r="AM45" s="36"/>
      <c r="AN45" s="108"/>
      <c r="AO45" s="108" t="str">
        <f aca="false">IF(ISBLANK(AL45),"",AL45*AN45)</f>
        <v/>
      </c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112" t="s">
        <v>297</v>
      </c>
      <c r="C46" s="113" t="n">
        <v>8</v>
      </c>
      <c r="D46" s="36" t="s">
        <v>287</v>
      </c>
      <c r="E46" s="108" t="n">
        <v>3500</v>
      </c>
      <c r="F46" s="108" t="n">
        <f aca="false">IF(ISBLANK(C46),"",C46*E46)</f>
        <v>28000</v>
      </c>
      <c r="G46" s="103"/>
      <c r="H46" s="113" t="n">
        <v>8</v>
      </c>
      <c r="I46" s="36" t="s">
        <v>287</v>
      </c>
      <c r="J46" s="108" t="n">
        <v>3500</v>
      </c>
      <c r="K46" s="108" t="n">
        <f aca="false">IF(ISBLANK(H46),"",H46*J46)</f>
        <v>28000</v>
      </c>
      <c r="L46" s="103"/>
      <c r="M46" s="113" t="n">
        <v>8</v>
      </c>
      <c r="N46" s="36" t="s">
        <v>287</v>
      </c>
      <c r="O46" s="108" t="n">
        <v>3500</v>
      </c>
      <c r="P46" s="108" t="n">
        <f aca="false">IF(ISBLANK(M46),"",M46*O46)</f>
        <v>28000</v>
      </c>
      <c r="Q46" s="103"/>
      <c r="R46" s="113" t="n">
        <v>8</v>
      </c>
      <c r="S46" s="36" t="s">
        <v>287</v>
      </c>
      <c r="T46" s="108" t="n">
        <v>3500</v>
      </c>
      <c r="U46" s="108" t="n">
        <f aca="false">IF(ISBLANK(R46),"",R46*T46)</f>
        <v>28000</v>
      </c>
      <c r="V46" s="103"/>
      <c r="W46" s="108"/>
      <c r="X46" s="36" t="s">
        <v>287</v>
      </c>
      <c r="Y46" s="108"/>
      <c r="Z46" s="108" t="str">
        <f aca="false">IF(ISBLANK(W46),"",W46*Y46)</f>
        <v/>
      </c>
      <c r="AA46" s="103"/>
      <c r="AB46" s="108"/>
      <c r="AC46" s="36" t="s">
        <v>287</v>
      </c>
      <c r="AD46" s="108"/>
      <c r="AE46" s="108" t="str">
        <f aca="false">IF(ISBLANK(AB46),"",AB46*AD46)</f>
        <v/>
      </c>
      <c r="AF46" s="103"/>
      <c r="AG46" s="108"/>
      <c r="AH46" s="36" t="s">
        <v>287</v>
      </c>
      <c r="AI46" s="108"/>
      <c r="AJ46" s="108" t="str">
        <f aca="false">IF(ISBLANK(AG46),"",AG46*AI46)</f>
        <v/>
      </c>
      <c r="AK46" s="103"/>
      <c r="AL46" s="108"/>
      <c r="AM46" s="36" t="s">
        <v>287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74" t="str">
        <f aca="false">IF(B47&gt;0,IF(C47&gt;0,MAX($A$5:A46)+1," ")," ")</f>
        <v> </v>
      </c>
      <c r="B47" s="112"/>
      <c r="C47" s="113"/>
      <c r="D47" s="36"/>
      <c r="E47" s="108"/>
      <c r="F47" s="108" t="str">
        <f aca="false">IF(ISBLANK(C47),"",C47*E47)</f>
        <v/>
      </c>
      <c r="G47" s="103"/>
      <c r="H47" s="113"/>
      <c r="I47" s="36"/>
      <c r="J47" s="108"/>
      <c r="K47" s="108" t="str">
        <f aca="false">IF(ISBLANK(H47),"",H47*J47)</f>
        <v/>
      </c>
      <c r="L47" s="103"/>
      <c r="M47" s="113"/>
      <c r="N47" s="36"/>
      <c r="O47" s="108"/>
      <c r="P47" s="108" t="str">
        <f aca="false">IF(ISBLANK(M47),"",M47*O47)</f>
        <v/>
      </c>
      <c r="Q47" s="103"/>
      <c r="R47" s="113"/>
      <c r="S47" s="36"/>
      <c r="T47" s="108"/>
      <c r="U47" s="108" t="str">
        <f aca="false">IF(ISBLANK(R47),"",R47*T47)</f>
        <v/>
      </c>
      <c r="V47" s="103"/>
      <c r="W47" s="108"/>
      <c r="X47" s="36"/>
      <c r="Y47" s="108"/>
      <c r="Z47" s="108" t="str">
        <f aca="false">IF(ISBLANK(W47),"",W47*Y47)</f>
        <v/>
      </c>
      <c r="AA47" s="103"/>
      <c r="AB47" s="108"/>
      <c r="AC47" s="36"/>
      <c r="AD47" s="108"/>
      <c r="AE47" s="108" t="str">
        <f aca="false">IF(ISBLANK(AB47),"",AB47*AD47)</f>
        <v/>
      </c>
      <c r="AF47" s="103"/>
      <c r="AG47" s="108"/>
      <c r="AH47" s="36"/>
      <c r="AI47" s="108"/>
      <c r="AJ47" s="108" t="str">
        <f aca="false">IF(ISBLANK(AG47),"",AG47*AI47)</f>
        <v/>
      </c>
      <c r="AK47" s="103"/>
      <c r="AL47" s="108"/>
      <c r="AM47" s="36"/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IF(B53&gt;0,IF(C53&gt;0,MAX($A$3:A47)+1,"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471975</v>
      </c>
      <c r="G54" s="103"/>
      <c r="H54" s="98"/>
      <c r="I54" s="98"/>
      <c r="J54" s="117" t="s">
        <v>177</v>
      </c>
      <c r="K54" s="117" t="n">
        <f aca="false">SUM(K5:K53)</f>
        <v>471975</v>
      </c>
      <c r="L54" s="103"/>
      <c r="M54" s="98"/>
      <c r="N54" s="98"/>
      <c r="O54" s="117" t="s">
        <v>177</v>
      </c>
      <c r="P54" s="117" t="n">
        <f aca="false">SUM(P5:P53)</f>
        <v>471975</v>
      </c>
      <c r="Q54" s="103"/>
      <c r="R54" s="98"/>
      <c r="S54" s="98"/>
      <c r="T54" s="117" t="s">
        <v>177</v>
      </c>
      <c r="U54" s="117" t="n">
        <f aca="false">SUM(U5:U53)</f>
        <v>471975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2.2 Upper floors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IF(B6&gt;0,IF(C6&gt;0,MAX($A$5:A5)+1," ")," ")</f>
        <v> </v>
      </c>
      <c r="B6" s="177" t="s">
        <v>134</v>
      </c>
      <c r="C6" s="113"/>
      <c r="D6" s="36"/>
      <c r="E6" s="108"/>
      <c r="F6" s="108"/>
      <c r="G6" s="103"/>
      <c r="H6" s="113"/>
      <c r="I6" s="36"/>
      <c r="J6" s="108"/>
      <c r="K6" s="108"/>
      <c r="L6" s="103"/>
      <c r="M6" s="113"/>
      <c r="N6" s="36"/>
      <c r="O6" s="108"/>
      <c r="P6" s="108"/>
      <c r="Q6" s="103"/>
      <c r="R6" s="113"/>
      <c r="S6" s="36"/>
      <c r="T6" s="108"/>
      <c r="U6" s="108"/>
      <c r="V6" s="103"/>
      <c r="W6" s="113"/>
      <c r="X6" s="36"/>
      <c r="Y6" s="108"/>
      <c r="Z6" s="108"/>
      <c r="AA6" s="103"/>
      <c r="AB6" s="113"/>
      <c r="AC6" s="36"/>
      <c r="AD6" s="108"/>
      <c r="AE6" s="108"/>
      <c r="AF6" s="103"/>
      <c r="AG6" s="113"/>
      <c r="AH6" s="36"/>
      <c r="AI6" s="108"/>
      <c r="AJ6" s="108"/>
      <c r="AK6" s="103"/>
      <c r="AL6" s="113"/>
      <c r="AM6" s="36"/>
      <c r="AN6" s="108"/>
      <c r="AO6" s="108"/>
      <c r="AP6" s="103"/>
    </row>
    <row r="7" customFormat="false" ht="11.25" hidden="false" customHeight="true" outlineLevel="0" collapsed="false">
      <c r="A7" s="174" t="str">
        <f aca="false">IF(B7&gt;0,IF(C7&gt;0,MAX($A$5:A6)+1," ")," ")</f>
        <v> </v>
      </c>
      <c r="B7" s="112"/>
      <c r="C7" s="113"/>
      <c r="D7" s="36"/>
      <c r="E7" s="108"/>
      <c r="F7" s="108"/>
      <c r="G7" s="103"/>
      <c r="H7" s="113"/>
      <c r="I7" s="36"/>
      <c r="J7" s="108"/>
      <c r="K7" s="108"/>
      <c r="L7" s="103"/>
      <c r="M7" s="113"/>
      <c r="N7" s="36"/>
      <c r="O7" s="108"/>
      <c r="P7" s="108"/>
      <c r="Q7" s="103"/>
      <c r="R7" s="113"/>
      <c r="S7" s="36"/>
      <c r="T7" s="108"/>
      <c r="U7" s="108"/>
      <c r="V7" s="103"/>
      <c r="W7" s="113"/>
      <c r="X7" s="36"/>
      <c r="Y7" s="108"/>
      <c r="Z7" s="108"/>
      <c r="AA7" s="103"/>
      <c r="AB7" s="113"/>
      <c r="AC7" s="36"/>
      <c r="AD7" s="108"/>
      <c r="AE7" s="108"/>
      <c r="AF7" s="103"/>
      <c r="AG7" s="113"/>
      <c r="AH7" s="36"/>
      <c r="AI7" s="108"/>
      <c r="AJ7" s="108"/>
      <c r="AK7" s="103"/>
      <c r="AL7" s="113"/>
      <c r="AM7" s="36"/>
      <c r="AN7" s="108"/>
      <c r="AO7" s="108"/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112" t="s">
        <v>298</v>
      </c>
      <c r="C8" s="113" t="n">
        <v>540</v>
      </c>
      <c r="D8" s="113" t="s">
        <v>299</v>
      </c>
      <c r="E8" s="108" t="n">
        <v>350</v>
      </c>
      <c r="F8" s="108" t="n">
        <f aca="false">IF(ISBLANK(C8),"",C8*E8)</f>
        <v>189000</v>
      </c>
      <c r="G8" s="103"/>
      <c r="H8" s="113" t="n">
        <v>540</v>
      </c>
      <c r="I8" s="113" t="s">
        <v>299</v>
      </c>
      <c r="J8" s="108" t="n">
        <v>350</v>
      </c>
      <c r="K8" s="108" t="n">
        <f aca="false">IF(ISBLANK(H8),"",H8*J8)</f>
        <v>189000</v>
      </c>
      <c r="L8" s="103"/>
      <c r="M8" s="113" t="n">
        <v>540</v>
      </c>
      <c r="N8" s="113" t="s">
        <v>299</v>
      </c>
      <c r="O8" s="108" t="n">
        <v>350</v>
      </c>
      <c r="P8" s="108" t="n">
        <f aca="false">IF(ISBLANK(M8),"",M8*O8)</f>
        <v>189000</v>
      </c>
      <c r="Q8" s="103"/>
      <c r="R8" s="113" t="n">
        <v>540</v>
      </c>
      <c r="S8" s="113" t="s">
        <v>299</v>
      </c>
      <c r="T8" s="108" t="n">
        <v>350</v>
      </c>
      <c r="U8" s="108" t="n">
        <f aca="false">IF(ISBLANK(R8),"",R8*T8)</f>
        <v>189000</v>
      </c>
      <c r="V8" s="103"/>
      <c r="W8" s="113"/>
      <c r="X8" s="113" t="s">
        <v>299</v>
      </c>
      <c r="Y8" s="108"/>
      <c r="Z8" s="108" t="str">
        <f aca="false">IF(ISBLANK(W8),"",W8*Y8)</f>
        <v/>
      </c>
      <c r="AA8" s="103"/>
      <c r="AB8" s="113"/>
      <c r="AC8" s="113" t="s">
        <v>299</v>
      </c>
      <c r="AD8" s="108"/>
      <c r="AE8" s="108" t="str">
        <f aca="false">IF(ISBLANK(AB8),"",AB8*AD8)</f>
        <v/>
      </c>
      <c r="AF8" s="103"/>
      <c r="AG8" s="113"/>
      <c r="AH8" s="113" t="s">
        <v>299</v>
      </c>
      <c r="AI8" s="108"/>
      <c r="AJ8" s="108" t="str">
        <f aca="false">IF(ISBLANK(AG8),"",AG8*AI8)</f>
        <v/>
      </c>
      <c r="AK8" s="103"/>
      <c r="AL8" s="113"/>
      <c r="AM8" s="113" t="s">
        <v>299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09"/>
      <c r="B9" s="112"/>
      <c r="C9" s="113"/>
      <c r="D9" s="113"/>
      <c r="E9" s="108"/>
      <c r="F9" s="108" t="str">
        <f aca="false">IF(ISBLANK(C9),"",C9*E9)</f>
        <v/>
      </c>
      <c r="G9" s="103"/>
      <c r="H9" s="113"/>
      <c r="I9" s="113"/>
      <c r="J9" s="108"/>
      <c r="K9" s="108" t="str">
        <f aca="false">IF(ISBLANK(H9),"",H9*J9)</f>
        <v/>
      </c>
      <c r="L9" s="103"/>
      <c r="M9" s="113"/>
      <c r="N9" s="113"/>
      <c r="O9" s="108"/>
      <c r="P9" s="108" t="str">
        <f aca="false">IF(ISBLANK(M9),"",M9*O9)</f>
        <v/>
      </c>
      <c r="Q9" s="103"/>
      <c r="R9" s="113"/>
      <c r="S9" s="113"/>
      <c r="T9" s="108"/>
      <c r="U9" s="108" t="str">
        <f aca="false">IF(ISBLANK(R9),"",R9*T9)</f>
        <v/>
      </c>
      <c r="V9" s="103"/>
      <c r="W9" s="113"/>
      <c r="X9" s="113"/>
      <c r="Y9" s="108"/>
      <c r="Z9" s="108" t="str">
        <f aca="false">IF(ISBLANK(W9),"",W9*Y9)</f>
        <v/>
      </c>
      <c r="AA9" s="103"/>
      <c r="AB9" s="113"/>
      <c r="AC9" s="113"/>
      <c r="AD9" s="108"/>
      <c r="AE9" s="108" t="str">
        <f aca="false">IF(ISBLANK(AB9),"",AB9*AD9)</f>
        <v/>
      </c>
      <c r="AF9" s="103"/>
      <c r="AG9" s="113"/>
      <c r="AH9" s="113"/>
      <c r="AI9" s="108"/>
      <c r="AJ9" s="108" t="str">
        <f aca="false">IF(ISBLANK(AG9),"",AG9*AI9)</f>
        <v/>
      </c>
      <c r="AK9" s="103"/>
      <c r="AL9" s="113"/>
      <c r="AM9" s="113"/>
      <c r="AN9" s="108"/>
      <c r="AO9" s="108" t="str">
        <f aca="false">IF(ISBLANK(AL9),"",AL9*AN9)</f>
        <v/>
      </c>
      <c r="AP9" s="103"/>
    </row>
    <row r="10" customFormat="false" ht="12" hidden="false" customHeight="true" outlineLevel="0" collapsed="false">
      <c r="A10" s="174" t="n">
        <f aca="false">IF(B10&gt;0,IF(C10&gt;0,MAX($A$5:A8)+1," ")," ")</f>
        <v>2</v>
      </c>
      <c r="B10" s="112" t="s">
        <v>300</v>
      </c>
      <c r="C10" s="113" t="n">
        <v>250</v>
      </c>
      <c r="D10" s="113" t="s">
        <v>301</v>
      </c>
      <c r="E10" s="108" t="n">
        <v>250</v>
      </c>
      <c r="F10" s="108" t="n">
        <f aca="false">IF(ISBLANK(C10),"",C10*E10)</f>
        <v>62500</v>
      </c>
      <c r="G10" s="103"/>
      <c r="H10" s="113" t="n">
        <v>250</v>
      </c>
      <c r="I10" s="113" t="s">
        <v>301</v>
      </c>
      <c r="J10" s="108" t="n">
        <v>250</v>
      </c>
      <c r="K10" s="108" t="n">
        <f aca="false">IF(ISBLANK(H10),"",H10*J10)</f>
        <v>62500</v>
      </c>
      <c r="L10" s="103"/>
      <c r="M10" s="113" t="n">
        <v>250</v>
      </c>
      <c r="N10" s="113" t="s">
        <v>301</v>
      </c>
      <c r="O10" s="108" t="n">
        <v>250</v>
      </c>
      <c r="P10" s="108" t="n">
        <f aca="false">IF(ISBLANK(M10),"",M10*O10)</f>
        <v>62500</v>
      </c>
      <c r="Q10" s="103"/>
      <c r="R10" s="113" t="n">
        <v>250</v>
      </c>
      <c r="S10" s="113" t="s">
        <v>301</v>
      </c>
      <c r="T10" s="108" t="n">
        <v>250</v>
      </c>
      <c r="U10" s="108" t="n">
        <f aca="false">IF(ISBLANK(R10),"",R10*T10)</f>
        <v>62500</v>
      </c>
      <c r="V10" s="103"/>
      <c r="W10" s="113"/>
      <c r="X10" s="113" t="s">
        <v>301</v>
      </c>
      <c r="Y10" s="108"/>
      <c r="Z10" s="108" t="str">
        <f aca="false">IF(ISBLANK(W10),"",W10*Y10)</f>
        <v/>
      </c>
      <c r="AA10" s="103"/>
      <c r="AB10" s="113"/>
      <c r="AC10" s="113" t="s">
        <v>301</v>
      </c>
      <c r="AD10" s="108"/>
      <c r="AE10" s="108" t="str">
        <f aca="false">IF(ISBLANK(AB10),"",AB10*AD10)</f>
        <v/>
      </c>
      <c r="AF10" s="103"/>
      <c r="AG10" s="113"/>
      <c r="AH10" s="113" t="s">
        <v>301</v>
      </c>
      <c r="AI10" s="108"/>
      <c r="AJ10" s="108" t="str">
        <f aca="false">IF(ISBLANK(AG10),"",AG10*AI10)</f>
        <v/>
      </c>
      <c r="AK10" s="103"/>
      <c r="AL10" s="113"/>
      <c r="AM10" s="113" t="s">
        <v>301</v>
      </c>
      <c r="AN10" s="108"/>
      <c r="AO10" s="108" t="str">
        <f aca="false">IF(ISBLANK(AL10),"",AL10*AN10)</f>
        <v/>
      </c>
      <c r="AP10" s="103"/>
    </row>
    <row r="11" customFormat="false" ht="12" hidden="false" customHeight="true" outlineLevel="0" collapsed="false">
      <c r="A11" s="109"/>
      <c r="B11" s="112"/>
      <c r="C11" s="113"/>
      <c r="D11" s="113"/>
      <c r="E11" s="108"/>
      <c r="F11" s="108"/>
      <c r="G11" s="103"/>
      <c r="H11" s="113"/>
      <c r="I11" s="113"/>
      <c r="J11" s="108"/>
      <c r="K11" s="108"/>
      <c r="L11" s="103"/>
      <c r="M11" s="113"/>
      <c r="N11" s="113"/>
      <c r="O11" s="108"/>
      <c r="P11" s="108"/>
      <c r="Q11" s="103"/>
      <c r="R11" s="113"/>
      <c r="S11" s="113"/>
      <c r="T11" s="108"/>
      <c r="U11" s="108"/>
      <c r="V11" s="103"/>
      <c r="W11" s="113"/>
      <c r="X11" s="113"/>
      <c r="Y11" s="108"/>
      <c r="Z11" s="108"/>
      <c r="AA11" s="103"/>
      <c r="AB11" s="113"/>
      <c r="AC11" s="113"/>
      <c r="AD11" s="108"/>
      <c r="AE11" s="108"/>
      <c r="AF11" s="103"/>
      <c r="AG11" s="113"/>
      <c r="AH11" s="113"/>
      <c r="AI11" s="108"/>
      <c r="AJ11" s="108"/>
      <c r="AK11" s="103"/>
      <c r="AL11" s="113"/>
      <c r="AM11" s="113"/>
      <c r="AN11" s="108"/>
      <c r="AO11" s="108"/>
      <c r="AP11" s="103"/>
    </row>
    <row r="12" customFormat="false" ht="12" hidden="false" customHeight="true" outlineLevel="0" collapsed="false">
      <c r="A12" s="174" t="n">
        <f aca="false">IF(B12&gt;0,IF(C12&gt;0,MAX($A$5:A10)+1," ")," ")</f>
        <v>3</v>
      </c>
      <c r="B12" s="112" t="s">
        <v>302</v>
      </c>
      <c r="C12" s="113" t="n">
        <v>270</v>
      </c>
      <c r="D12" s="113" t="s">
        <v>301</v>
      </c>
      <c r="E12" s="108" t="n">
        <v>100</v>
      </c>
      <c r="F12" s="108" t="n">
        <f aca="false">IF(ISBLANK(C12),"",C12*E12)</f>
        <v>27000</v>
      </c>
      <c r="G12" s="103"/>
      <c r="H12" s="113" t="n">
        <v>270</v>
      </c>
      <c r="I12" s="113" t="s">
        <v>301</v>
      </c>
      <c r="J12" s="108" t="n">
        <v>100</v>
      </c>
      <c r="K12" s="108" t="n">
        <f aca="false">IF(ISBLANK(H12),"",H12*J12)</f>
        <v>27000</v>
      </c>
      <c r="L12" s="103"/>
      <c r="M12" s="113" t="n">
        <v>270</v>
      </c>
      <c r="N12" s="113" t="s">
        <v>301</v>
      </c>
      <c r="O12" s="108" t="n">
        <v>100</v>
      </c>
      <c r="P12" s="108" t="n">
        <f aca="false">IF(ISBLANK(M12),"",M12*O12)</f>
        <v>27000</v>
      </c>
      <c r="Q12" s="103"/>
      <c r="R12" s="113" t="n">
        <v>270</v>
      </c>
      <c r="S12" s="113" t="s">
        <v>301</v>
      </c>
      <c r="T12" s="108" t="n">
        <v>100</v>
      </c>
      <c r="U12" s="108" t="n">
        <f aca="false">IF(ISBLANK(R12),"",R12*T12)</f>
        <v>27000</v>
      </c>
      <c r="V12" s="103"/>
      <c r="W12" s="113"/>
      <c r="X12" s="113" t="s">
        <v>301</v>
      </c>
      <c r="Y12" s="108"/>
      <c r="Z12" s="108" t="str">
        <f aca="false">IF(ISBLANK(W12),"",W12*Y12)</f>
        <v/>
      </c>
      <c r="AA12" s="103"/>
      <c r="AB12" s="113"/>
      <c r="AC12" s="113" t="s">
        <v>301</v>
      </c>
      <c r="AD12" s="108"/>
      <c r="AE12" s="108" t="str">
        <f aca="false">IF(ISBLANK(AB12),"",AB12*AD12)</f>
        <v/>
      </c>
      <c r="AF12" s="103"/>
      <c r="AG12" s="113"/>
      <c r="AH12" s="113" t="s">
        <v>301</v>
      </c>
      <c r="AI12" s="108"/>
      <c r="AJ12" s="108" t="str">
        <f aca="false">IF(ISBLANK(AG12),"",AG12*AI12)</f>
        <v/>
      </c>
      <c r="AK12" s="103"/>
      <c r="AL12" s="113"/>
      <c r="AM12" s="113" t="s">
        <v>301</v>
      </c>
      <c r="AN12" s="108"/>
      <c r="AO12" s="108" t="str">
        <f aca="false">IF(ISBLANK(AL12),"",AL12*AN12)</f>
        <v/>
      </c>
      <c r="AP12" s="103"/>
    </row>
    <row r="13" customFormat="false" ht="12" hidden="false" customHeight="true" outlineLevel="0" collapsed="false">
      <c r="A13" s="109"/>
      <c r="B13" s="112"/>
      <c r="C13" s="113"/>
      <c r="D13" s="113"/>
      <c r="E13" s="108"/>
      <c r="F13" s="108" t="str">
        <f aca="false">IF(ISBLANK(C13),"",C13*E13)</f>
        <v/>
      </c>
      <c r="G13" s="103"/>
      <c r="H13" s="113"/>
      <c r="I13" s="113"/>
      <c r="J13" s="108"/>
      <c r="K13" s="108" t="str">
        <f aca="false">IF(ISBLANK(H13),"",H13*J13)</f>
        <v/>
      </c>
      <c r="L13" s="103"/>
      <c r="M13" s="113"/>
      <c r="N13" s="113"/>
      <c r="O13" s="108"/>
      <c r="P13" s="108" t="str">
        <f aca="false">IF(ISBLANK(M13),"",M13*O13)</f>
        <v/>
      </c>
      <c r="Q13" s="103"/>
      <c r="R13" s="113"/>
      <c r="S13" s="113"/>
      <c r="T13" s="108"/>
      <c r="U13" s="108" t="str">
        <f aca="false">IF(ISBLANK(R13),"",R13*T13)</f>
        <v/>
      </c>
      <c r="V13" s="103"/>
      <c r="W13" s="113"/>
      <c r="X13" s="113"/>
      <c r="Y13" s="108"/>
      <c r="Z13" s="108" t="str">
        <f aca="false">IF(ISBLANK(W13),"",W13*Y13)</f>
        <v/>
      </c>
      <c r="AA13" s="103"/>
      <c r="AB13" s="113"/>
      <c r="AC13" s="113"/>
      <c r="AD13" s="108"/>
      <c r="AE13" s="108" t="str">
        <f aca="false">IF(ISBLANK(AB13),"",AB13*AD13)</f>
        <v/>
      </c>
      <c r="AF13" s="103"/>
      <c r="AG13" s="113"/>
      <c r="AH13" s="113"/>
      <c r="AI13" s="108"/>
      <c r="AJ13" s="108" t="str">
        <f aca="false">IF(ISBLANK(AG13),"",AG13*AI13)</f>
        <v/>
      </c>
      <c r="AK13" s="103"/>
      <c r="AL13" s="113"/>
      <c r="AM13" s="113"/>
      <c r="AN13" s="108"/>
      <c r="AO13" s="108" t="str">
        <f aca="false">IF(ISBLANK(AL13),"",AL13*AN13)</f>
        <v/>
      </c>
      <c r="AP13" s="103"/>
    </row>
    <row r="14" customFormat="false" ht="12" hidden="false" customHeight="true" outlineLevel="0" collapsed="false">
      <c r="A14" s="174" t="n">
        <f aca="false">IF(B14&gt;0,IF(C14&gt;0,MAX($A$5:A12)+1," ")," ")</f>
        <v>4</v>
      </c>
      <c r="B14" s="112" t="s">
        <v>303</v>
      </c>
      <c r="C14" s="113" t="n">
        <v>270</v>
      </c>
      <c r="D14" s="113" t="s">
        <v>301</v>
      </c>
      <c r="E14" s="108" t="n">
        <v>25</v>
      </c>
      <c r="F14" s="108" t="n">
        <f aca="false">IF(ISBLANK(C14),"",C14*E14)</f>
        <v>6750</v>
      </c>
      <c r="G14" s="103"/>
      <c r="H14" s="113" t="n">
        <v>270</v>
      </c>
      <c r="I14" s="113" t="s">
        <v>301</v>
      </c>
      <c r="J14" s="108" t="n">
        <v>25</v>
      </c>
      <c r="K14" s="108" t="n">
        <f aca="false">IF(ISBLANK(H14),"",H14*J14)</f>
        <v>6750</v>
      </c>
      <c r="L14" s="103"/>
      <c r="M14" s="113" t="n">
        <v>270</v>
      </c>
      <c r="N14" s="113" t="s">
        <v>301</v>
      </c>
      <c r="O14" s="108" t="n">
        <v>25</v>
      </c>
      <c r="P14" s="108" t="n">
        <f aca="false">IF(ISBLANK(M14),"",M14*O14)</f>
        <v>6750</v>
      </c>
      <c r="Q14" s="103"/>
      <c r="R14" s="113" t="n">
        <v>270</v>
      </c>
      <c r="S14" s="113" t="s">
        <v>301</v>
      </c>
      <c r="T14" s="108" t="n">
        <v>25</v>
      </c>
      <c r="U14" s="108" t="n">
        <f aca="false">IF(ISBLANK(R14),"",R14*T14)</f>
        <v>6750</v>
      </c>
      <c r="V14" s="103"/>
      <c r="W14" s="113"/>
      <c r="X14" s="113" t="s">
        <v>301</v>
      </c>
      <c r="Y14" s="108"/>
      <c r="Z14" s="108" t="str">
        <f aca="false">IF(ISBLANK(W14),"",W14*Y14)</f>
        <v/>
      </c>
      <c r="AA14" s="103"/>
      <c r="AB14" s="113"/>
      <c r="AC14" s="113" t="s">
        <v>301</v>
      </c>
      <c r="AD14" s="108"/>
      <c r="AE14" s="108" t="str">
        <f aca="false">IF(ISBLANK(AB14),"",AB14*AD14)</f>
        <v/>
      </c>
      <c r="AF14" s="103"/>
      <c r="AG14" s="113"/>
      <c r="AH14" s="113" t="s">
        <v>301</v>
      </c>
      <c r="AI14" s="108"/>
      <c r="AJ14" s="108" t="str">
        <f aca="false">IF(ISBLANK(AG14),"",AG14*AI14)</f>
        <v/>
      </c>
      <c r="AK14" s="103"/>
      <c r="AL14" s="113"/>
      <c r="AM14" s="113" t="s">
        <v>301</v>
      </c>
      <c r="AN14" s="108"/>
      <c r="AO14" s="108" t="str">
        <f aca="false">IF(ISBLANK(AL14),"",AL14*AN14)</f>
        <v/>
      </c>
      <c r="AP14" s="103"/>
    </row>
    <row r="15" customFormat="false" ht="12" hidden="false" customHeight="true" outlineLevel="0" collapsed="false">
      <c r="A15" s="109"/>
      <c r="B15" s="112"/>
      <c r="C15" s="113"/>
      <c r="D15" s="113"/>
      <c r="E15" s="108"/>
      <c r="F15" s="108" t="str">
        <f aca="false">IF(ISBLANK(C15),"",C15*E15)</f>
        <v/>
      </c>
      <c r="G15" s="103"/>
      <c r="H15" s="113"/>
      <c r="I15" s="113"/>
      <c r="J15" s="108"/>
      <c r="K15" s="108" t="str">
        <f aca="false">IF(ISBLANK(H15),"",H15*J15)</f>
        <v/>
      </c>
      <c r="L15" s="103"/>
      <c r="M15" s="113"/>
      <c r="N15" s="113"/>
      <c r="O15" s="108"/>
      <c r="P15" s="108" t="str">
        <f aca="false">IF(ISBLANK(M15),"",M15*O15)</f>
        <v/>
      </c>
      <c r="Q15" s="103"/>
      <c r="R15" s="113"/>
      <c r="S15" s="113"/>
      <c r="T15" s="108"/>
      <c r="U15" s="108" t="str">
        <f aca="false">IF(ISBLANK(R15),"",R15*T15)</f>
        <v/>
      </c>
      <c r="V15" s="103"/>
      <c r="W15" s="113"/>
      <c r="X15" s="113"/>
      <c r="Y15" s="108"/>
      <c r="Z15" s="108" t="str">
        <f aca="false">IF(ISBLANK(W15),"",W15*Y15)</f>
        <v/>
      </c>
      <c r="AA15" s="103"/>
      <c r="AB15" s="113"/>
      <c r="AC15" s="113"/>
      <c r="AD15" s="108"/>
      <c r="AE15" s="108" t="str">
        <f aca="false">IF(ISBLANK(AB15),"",AB15*AD15)</f>
        <v/>
      </c>
      <c r="AF15" s="103"/>
      <c r="AG15" s="113"/>
      <c r="AH15" s="113"/>
      <c r="AI15" s="108"/>
      <c r="AJ15" s="108" t="str">
        <f aca="false">IF(ISBLANK(AG15),"",AG15*AI15)</f>
        <v/>
      </c>
      <c r="AK15" s="103"/>
      <c r="AL15" s="113"/>
      <c r="AM15" s="113"/>
      <c r="AN15" s="108"/>
      <c r="AO15" s="108" t="str">
        <f aca="false">IF(ISBLANK(AL15),"",AL15*AN15)</f>
        <v/>
      </c>
      <c r="AP15" s="103"/>
    </row>
    <row r="16" customFormat="false" ht="12" hidden="false" customHeight="true" outlineLevel="0" collapsed="false">
      <c r="A16" s="174" t="n">
        <f aca="false">IF(B16&gt;0,IF(C16&gt;0,MAX($A$5:A14)+1," ")," ")</f>
        <v>5</v>
      </c>
      <c r="B16" s="112" t="s">
        <v>304</v>
      </c>
      <c r="C16" s="113" t="n">
        <v>270</v>
      </c>
      <c r="D16" s="113" t="s">
        <v>301</v>
      </c>
      <c r="E16" s="108" t="n">
        <v>45</v>
      </c>
      <c r="F16" s="108" t="n">
        <f aca="false">IF(ISBLANK(C16),"",C16*E16)</f>
        <v>12150</v>
      </c>
      <c r="G16" s="103"/>
      <c r="H16" s="113" t="n">
        <v>270</v>
      </c>
      <c r="I16" s="113" t="s">
        <v>301</v>
      </c>
      <c r="J16" s="108" t="n">
        <v>45</v>
      </c>
      <c r="K16" s="108" t="n">
        <f aca="false">IF(ISBLANK(H16),"",H16*J16)</f>
        <v>12150</v>
      </c>
      <c r="L16" s="103"/>
      <c r="M16" s="113" t="n">
        <v>270</v>
      </c>
      <c r="N16" s="113" t="s">
        <v>301</v>
      </c>
      <c r="O16" s="108" t="n">
        <v>45</v>
      </c>
      <c r="P16" s="108" t="n">
        <f aca="false">IF(ISBLANK(M16),"",M16*O16)</f>
        <v>12150</v>
      </c>
      <c r="Q16" s="103"/>
      <c r="R16" s="113" t="n">
        <v>270</v>
      </c>
      <c r="S16" s="113" t="s">
        <v>301</v>
      </c>
      <c r="T16" s="108" t="n">
        <v>45</v>
      </c>
      <c r="U16" s="108" t="n">
        <f aca="false">IF(ISBLANK(R16),"",R16*T16)</f>
        <v>12150</v>
      </c>
      <c r="V16" s="103"/>
      <c r="W16" s="113"/>
      <c r="X16" s="113" t="s">
        <v>301</v>
      </c>
      <c r="Y16" s="108"/>
      <c r="Z16" s="108" t="str">
        <f aca="false">IF(ISBLANK(W16),"",W16*Y16)</f>
        <v/>
      </c>
      <c r="AA16" s="103"/>
      <c r="AB16" s="113"/>
      <c r="AC16" s="113" t="s">
        <v>301</v>
      </c>
      <c r="AD16" s="108"/>
      <c r="AE16" s="108" t="str">
        <f aca="false">IF(ISBLANK(AB16),"",AB16*AD16)</f>
        <v/>
      </c>
      <c r="AF16" s="103"/>
      <c r="AG16" s="113"/>
      <c r="AH16" s="113" t="s">
        <v>301</v>
      </c>
      <c r="AI16" s="108"/>
      <c r="AJ16" s="108" t="str">
        <f aca="false">IF(ISBLANK(AG16),"",AG16*AI16)</f>
        <v/>
      </c>
      <c r="AK16" s="103"/>
      <c r="AL16" s="113"/>
      <c r="AM16" s="113" t="s">
        <v>301</v>
      </c>
      <c r="AN16" s="108"/>
      <c r="AO16" s="108" t="str">
        <f aca="false">IF(ISBLANK(AL16),"",AL16*AN16)</f>
        <v/>
      </c>
      <c r="AP16" s="103"/>
    </row>
    <row r="17" customFormat="false" ht="12" hidden="false" customHeight="true" outlineLevel="0" collapsed="false">
      <c r="A17" s="109"/>
      <c r="B17" s="112"/>
      <c r="C17" s="113"/>
      <c r="D17" s="113"/>
      <c r="E17" s="108"/>
      <c r="F17" s="108" t="str">
        <f aca="false">IF(ISBLANK(C17),"",C17*E17)</f>
        <v/>
      </c>
      <c r="G17" s="103"/>
      <c r="H17" s="113"/>
      <c r="I17" s="113"/>
      <c r="J17" s="108"/>
      <c r="K17" s="108" t="str">
        <f aca="false">IF(ISBLANK(H17),"",H17*J17)</f>
        <v/>
      </c>
      <c r="L17" s="103"/>
      <c r="M17" s="113"/>
      <c r="N17" s="113"/>
      <c r="O17" s="108"/>
      <c r="P17" s="108" t="str">
        <f aca="false">IF(ISBLANK(M17),"",M17*O17)</f>
        <v/>
      </c>
      <c r="Q17" s="103"/>
      <c r="R17" s="113"/>
      <c r="S17" s="113"/>
      <c r="T17" s="108"/>
      <c r="U17" s="108" t="str">
        <f aca="false">IF(ISBLANK(R17),"",R17*T17)</f>
        <v/>
      </c>
      <c r="V17" s="103"/>
      <c r="W17" s="113"/>
      <c r="X17" s="113"/>
      <c r="Y17" s="108"/>
      <c r="Z17" s="108" t="str">
        <f aca="false">IF(ISBLANK(W17),"",W17*Y17)</f>
        <v/>
      </c>
      <c r="AA17" s="103"/>
      <c r="AB17" s="113"/>
      <c r="AC17" s="113"/>
      <c r="AD17" s="108"/>
      <c r="AE17" s="108" t="str">
        <f aca="false">IF(ISBLANK(AB17),"",AB17*AD17)</f>
        <v/>
      </c>
      <c r="AF17" s="103"/>
      <c r="AG17" s="113"/>
      <c r="AH17" s="113"/>
      <c r="AI17" s="108"/>
      <c r="AJ17" s="108" t="str">
        <f aca="false">IF(ISBLANK(AG17),"",AG17*AI17)</f>
        <v/>
      </c>
      <c r="AK17" s="103"/>
      <c r="AL17" s="113"/>
      <c r="AM17" s="113"/>
      <c r="AN17" s="108"/>
      <c r="AO17" s="108" t="str">
        <f aca="false">IF(ISBLANK(AL17),"",AL17*AN17)</f>
        <v/>
      </c>
      <c r="AP17" s="103"/>
    </row>
    <row r="18" customFormat="false" ht="12" hidden="false" customHeight="true" outlineLevel="0" collapsed="false">
      <c r="A18" s="174" t="n">
        <f aca="false">IF(B18&gt;0,IF(C18&gt;0,MAX($A$5:A16)+1," ")," ")</f>
        <v>6</v>
      </c>
      <c r="B18" s="112" t="s">
        <v>305</v>
      </c>
      <c r="C18" s="113" t="n">
        <v>270</v>
      </c>
      <c r="D18" s="113" t="s">
        <v>301</v>
      </c>
      <c r="E18" s="108" t="n">
        <v>15</v>
      </c>
      <c r="F18" s="108" t="n">
        <f aca="false">IF(ISBLANK(C18),"",C18*E18)</f>
        <v>4050</v>
      </c>
      <c r="G18" s="103"/>
      <c r="H18" s="113" t="n">
        <v>270</v>
      </c>
      <c r="I18" s="113" t="s">
        <v>301</v>
      </c>
      <c r="J18" s="108" t="n">
        <v>15</v>
      </c>
      <c r="K18" s="108" t="n">
        <f aca="false">IF(ISBLANK(H18),"",H18*J18)</f>
        <v>4050</v>
      </c>
      <c r="L18" s="103"/>
      <c r="M18" s="113" t="n">
        <v>270</v>
      </c>
      <c r="N18" s="113" t="s">
        <v>301</v>
      </c>
      <c r="O18" s="108" t="n">
        <v>15</v>
      </c>
      <c r="P18" s="108" t="n">
        <f aca="false">IF(ISBLANK(M18),"",M18*O18)</f>
        <v>4050</v>
      </c>
      <c r="Q18" s="103"/>
      <c r="R18" s="113" t="n">
        <v>270</v>
      </c>
      <c r="S18" s="113" t="s">
        <v>301</v>
      </c>
      <c r="T18" s="108" t="n">
        <v>15</v>
      </c>
      <c r="U18" s="108" t="n">
        <f aca="false">IF(ISBLANK(R18),"",R18*T18)</f>
        <v>4050</v>
      </c>
      <c r="V18" s="103"/>
      <c r="W18" s="113"/>
      <c r="X18" s="113" t="s">
        <v>301</v>
      </c>
      <c r="Y18" s="108"/>
      <c r="Z18" s="108" t="str">
        <f aca="false">IF(ISBLANK(W18),"",W18*Y18)</f>
        <v/>
      </c>
      <c r="AA18" s="103"/>
      <c r="AB18" s="113"/>
      <c r="AC18" s="113" t="s">
        <v>301</v>
      </c>
      <c r="AD18" s="108"/>
      <c r="AE18" s="108" t="str">
        <f aca="false">IF(ISBLANK(AB18),"",AB18*AD18)</f>
        <v/>
      </c>
      <c r="AF18" s="103"/>
      <c r="AG18" s="113"/>
      <c r="AH18" s="113" t="s">
        <v>301</v>
      </c>
      <c r="AI18" s="108"/>
      <c r="AJ18" s="108" t="str">
        <f aca="false">IF(ISBLANK(AG18),"",AG18*AI18)</f>
        <v/>
      </c>
      <c r="AK18" s="103"/>
      <c r="AL18" s="113"/>
      <c r="AM18" s="113" t="s">
        <v>301</v>
      </c>
      <c r="AN18" s="108"/>
      <c r="AO18" s="108" t="str">
        <f aca="false">IF(ISBLANK(AL18),"",AL18*AN18)</f>
        <v/>
      </c>
      <c r="AP18" s="103"/>
    </row>
    <row r="19" customFormat="false" ht="12" hidden="false" customHeight="true" outlineLevel="0" collapsed="false">
      <c r="A19" s="109"/>
      <c r="B19" s="112"/>
      <c r="C19" s="113"/>
      <c r="D19" s="113"/>
      <c r="E19" s="108"/>
      <c r="F19" s="108" t="str">
        <f aca="false">IF(ISBLANK(C19),"",C19*E19)</f>
        <v/>
      </c>
      <c r="G19" s="103"/>
      <c r="H19" s="113"/>
      <c r="I19" s="113"/>
      <c r="J19" s="108"/>
      <c r="K19" s="108" t="str">
        <f aca="false">IF(ISBLANK(H19),"",H19*J19)</f>
        <v/>
      </c>
      <c r="L19" s="103"/>
      <c r="M19" s="113"/>
      <c r="N19" s="113"/>
      <c r="O19" s="108"/>
      <c r="P19" s="108" t="str">
        <f aca="false">IF(ISBLANK(M19),"",M19*O19)</f>
        <v/>
      </c>
      <c r="Q19" s="103"/>
      <c r="R19" s="113"/>
      <c r="S19" s="113"/>
      <c r="T19" s="108"/>
      <c r="U19" s="108" t="str">
        <f aca="false">IF(ISBLANK(R19),"",R19*T19)</f>
        <v/>
      </c>
      <c r="V19" s="103"/>
      <c r="W19" s="113"/>
      <c r="X19" s="113"/>
      <c r="Y19" s="108"/>
      <c r="Z19" s="108" t="str">
        <f aca="false">IF(ISBLANK(W19),"",W19*Y19)</f>
        <v/>
      </c>
      <c r="AA19" s="103"/>
      <c r="AB19" s="113"/>
      <c r="AC19" s="113"/>
      <c r="AD19" s="108"/>
      <c r="AE19" s="108" t="str">
        <f aca="false">IF(ISBLANK(AB19),"",AB19*AD19)</f>
        <v/>
      </c>
      <c r="AF19" s="103"/>
      <c r="AG19" s="113"/>
      <c r="AH19" s="113"/>
      <c r="AI19" s="108"/>
      <c r="AJ19" s="108" t="str">
        <f aca="false">IF(ISBLANK(AG19),"",AG19*AI19)</f>
        <v/>
      </c>
      <c r="AK19" s="103"/>
      <c r="AL19" s="113"/>
      <c r="AM19" s="113"/>
      <c r="AN19" s="108"/>
      <c r="AO19" s="108" t="str">
        <f aca="false">IF(ISBLANK(AL19),"",AL19*AN19)</f>
        <v/>
      </c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112" t="s">
        <v>306</v>
      </c>
      <c r="C20" s="113" t="n">
        <v>270</v>
      </c>
      <c r="D20" s="113" t="s">
        <v>301</v>
      </c>
      <c r="E20" s="108" t="n">
        <v>25</v>
      </c>
      <c r="F20" s="108" t="n">
        <f aca="false">IF(ISBLANK(C20),"",C20*E20)</f>
        <v>6750</v>
      </c>
      <c r="G20" s="103"/>
      <c r="H20" s="113" t="n">
        <v>270</v>
      </c>
      <c r="I20" s="113" t="s">
        <v>301</v>
      </c>
      <c r="J20" s="108" t="n">
        <v>25</v>
      </c>
      <c r="K20" s="108" t="n">
        <f aca="false">IF(ISBLANK(H20),"",H20*J20)</f>
        <v>6750</v>
      </c>
      <c r="L20" s="103"/>
      <c r="M20" s="113" t="n">
        <v>270</v>
      </c>
      <c r="N20" s="113" t="s">
        <v>301</v>
      </c>
      <c r="O20" s="108" t="n">
        <v>25</v>
      </c>
      <c r="P20" s="108" t="n">
        <f aca="false">IF(ISBLANK(M20),"",M20*O20)</f>
        <v>6750</v>
      </c>
      <c r="Q20" s="103"/>
      <c r="R20" s="113" t="n">
        <v>270</v>
      </c>
      <c r="S20" s="113" t="s">
        <v>301</v>
      </c>
      <c r="T20" s="108" t="n">
        <v>25</v>
      </c>
      <c r="U20" s="108" t="n">
        <f aca="false">IF(ISBLANK(R20),"",R20*T20)</f>
        <v>6750</v>
      </c>
      <c r="V20" s="103"/>
      <c r="W20" s="113"/>
      <c r="X20" s="113" t="s">
        <v>301</v>
      </c>
      <c r="Y20" s="108"/>
      <c r="Z20" s="108" t="str">
        <f aca="false">IF(ISBLANK(W20),"",W20*Y20)</f>
        <v/>
      </c>
      <c r="AA20" s="103"/>
      <c r="AB20" s="113"/>
      <c r="AC20" s="113" t="s">
        <v>301</v>
      </c>
      <c r="AD20" s="108"/>
      <c r="AE20" s="108" t="str">
        <f aca="false">IF(ISBLANK(AB20),"",AB20*AD20)</f>
        <v/>
      </c>
      <c r="AF20" s="103"/>
      <c r="AG20" s="113"/>
      <c r="AH20" s="113" t="s">
        <v>301</v>
      </c>
      <c r="AI20" s="108"/>
      <c r="AJ20" s="108" t="str">
        <f aca="false">IF(ISBLANK(AG20),"",AG20*AI20)</f>
        <v/>
      </c>
      <c r="AK20" s="103"/>
      <c r="AL20" s="113"/>
      <c r="AM20" s="113" t="s">
        <v>301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09"/>
      <c r="B21" s="112"/>
      <c r="C21" s="113"/>
      <c r="D21" s="113"/>
      <c r="E21" s="108"/>
      <c r="F21" s="108" t="str">
        <f aca="false">IF(ISBLANK(C21),"",C21*E21)</f>
        <v/>
      </c>
      <c r="G21" s="103"/>
      <c r="H21" s="113"/>
      <c r="I21" s="113"/>
      <c r="J21" s="108"/>
      <c r="K21" s="108" t="str">
        <f aca="false">IF(ISBLANK(H21),"",H21*J21)</f>
        <v/>
      </c>
      <c r="L21" s="103"/>
      <c r="M21" s="113"/>
      <c r="N21" s="113"/>
      <c r="O21" s="108"/>
      <c r="P21" s="108" t="str">
        <f aca="false">IF(ISBLANK(M21),"",M21*O21)</f>
        <v/>
      </c>
      <c r="Q21" s="103"/>
      <c r="R21" s="113"/>
      <c r="S21" s="113"/>
      <c r="T21" s="108"/>
      <c r="U21" s="108" t="str">
        <f aca="false">IF(ISBLANK(R21),"",R21*T21)</f>
        <v/>
      </c>
      <c r="V21" s="103"/>
      <c r="W21" s="113"/>
      <c r="X21" s="113"/>
      <c r="Y21" s="108"/>
      <c r="Z21" s="108" t="str">
        <f aca="false">IF(ISBLANK(W21),"",W21*Y21)</f>
        <v/>
      </c>
      <c r="AA21" s="103"/>
      <c r="AB21" s="113"/>
      <c r="AC21" s="113"/>
      <c r="AD21" s="108"/>
      <c r="AE21" s="108" t="str">
        <f aca="false">IF(ISBLANK(AB21),"",AB21*AD21)</f>
        <v/>
      </c>
      <c r="AF21" s="103"/>
      <c r="AG21" s="113"/>
      <c r="AH21" s="113"/>
      <c r="AI21" s="108"/>
      <c r="AJ21" s="108" t="str">
        <f aca="false">IF(ISBLANK(AG21),"",AG21*AI21)</f>
        <v/>
      </c>
      <c r="AK21" s="103"/>
      <c r="AL21" s="113"/>
      <c r="AM21" s="113"/>
      <c r="AN21" s="108"/>
      <c r="AO21" s="108" t="str">
        <f aca="false">IF(ISBLANK(AL21),"",AL21*AN21)</f>
        <v/>
      </c>
      <c r="AP21" s="103"/>
    </row>
    <row r="22" customFormat="false" ht="11.25" hidden="false" customHeight="true" outlineLevel="0" collapsed="false">
      <c r="A22" s="174" t="n">
        <f aca="false">IF(B22&gt;0,IF(C22&gt;0,MAX($A$5:A20)+1," ")," ")</f>
        <v>8</v>
      </c>
      <c r="B22" s="112" t="s">
        <v>307</v>
      </c>
      <c r="C22" s="113" t="n">
        <v>270</v>
      </c>
      <c r="D22" s="113" t="s">
        <v>301</v>
      </c>
      <c r="E22" s="108" t="n">
        <v>10</v>
      </c>
      <c r="F22" s="108" t="n">
        <f aca="false">IF(ISBLANK(C22),"",C22*E22)</f>
        <v>2700</v>
      </c>
      <c r="G22" s="103"/>
      <c r="H22" s="113" t="n">
        <v>270</v>
      </c>
      <c r="I22" s="113" t="s">
        <v>301</v>
      </c>
      <c r="J22" s="108" t="n">
        <v>10</v>
      </c>
      <c r="K22" s="108" t="n">
        <f aca="false">IF(ISBLANK(H22),"",H22*J22)</f>
        <v>2700</v>
      </c>
      <c r="L22" s="103"/>
      <c r="M22" s="113" t="n">
        <v>270</v>
      </c>
      <c r="N22" s="113" t="s">
        <v>301</v>
      </c>
      <c r="O22" s="108" t="n">
        <v>10</v>
      </c>
      <c r="P22" s="108" t="n">
        <f aca="false">IF(ISBLANK(M22),"",M22*O22)</f>
        <v>2700</v>
      </c>
      <c r="Q22" s="103"/>
      <c r="R22" s="113" t="n">
        <v>270</v>
      </c>
      <c r="S22" s="113" t="s">
        <v>301</v>
      </c>
      <c r="T22" s="108" t="n">
        <v>10</v>
      </c>
      <c r="U22" s="108" t="n">
        <f aca="false">IF(ISBLANK(R22),"",R22*T22)</f>
        <v>2700</v>
      </c>
      <c r="V22" s="103"/>
      <c r="W22" s="113"/>
      <c r="X22" s="113" t="s">
        <v>301</v>
      </c>
      <c r="Y22" s="108"/>
      <c r="Z22" s="108" t="str">
        <f aca="false">IF(ISBLANK(W22),"",W22*Y22)</f>
        <v/>
      </c>
      <c r="AA22" s="103"/>
      <c r="AB22" s="113"/>
      <c r="AC22" s="113" t="s">
        <v>301</v>
      </c>
      <c r="AD22" s="108"/>
      <c r="AE22" s="108" t="str">
        <f aca="false">IF(ISBLANK(AB22),"",AB22*AD22)</f>
        <v/>
      </c>
      <c r="AF22" s="103"/>
      <c r="AG22" s="113"/>
      <c r="AH22" s="113" t="s">
        <v>301</v>
      </c>
      <c r="AI22" s="108"/>
      <c r="AJ22" s="108" t="str">
        <f aca="false">IF(ISBLANK(AG22),"",AG22*AI22)</f>
        <v/>
      </c>
      <c r="AK22" s="103"/>
      <c r="AL22" s="113"/>
      <c r="AM22" s="113" t="s">
        <v>301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09"/>
      <c r="B23" s="112"/>
      <c r="C23" s="113"/>
      <c r="D23" s="113"/>
      <c r="E23" s="108"/>
      <c r="F23" s="108" t="str">
        <f aca="false">IF(ISBLANK(C23),"",C23*E23)</f>
        <v/>
      </c>
      <c r="G23" s="103"/>
      <c r="H23" s="113"/>
      <c r="I23" s="113"/>
      <c r="J23" s="108"/>
      <c r="K23" s="108" t="str">
        <f aca="false">IF(ISBLANK(H23),"",H23*J23)</f>
        <v/>
      </c>
      <c r="L23" s="103"/>
      <c r="M23" s="113"/>
      <c r="N23" s="113"/>
      <c r="O23" s="108"/>
      <c r="P23" s="108" t="str">
        <f aca="false">IF(ISBLANK(M23),"",M23*O23)</f>
        <v/>
      </c>
      <c r="Q23" s="103"/>
      <c r="R23" s="113"/>
      <c r="S23" s="113"/>
      <c r="T23" s="108"/>
      <c r="U23" s="108" t="str">
        <f aca="false">IF(ISBLANK(R23),"",R23*T23)</f>
        <v/>
      </c>
      <c r="V23" s="103"/>
      <c r="W23" s="113"/>
      <c r="X23" s="113"/>
      <c r="Y23" s="108"/>
      <c r="Z23" s="108" t="str">
        <f aca="false">IF(ISBLANK(W23),"",W23*Y23)</f>
        <v/>
      </c>
      <c r="AA23" s="103"/>
      <c r="AB23" s="113"/>
      <c r="AC23" s="113"/>
      <c r="AD23" s="108"/>
      <c r="AE23" s="108" t="str">
        <f aca="false">IF(ISBLANK(AB23),"",AB23*AD23)</f>
        <v/>
      </c>
      <c r="AF23" s="103"/>
      <c r="AG23" s="113"/>
      <c r="AH23" s="113"/>
      <c r="AI23" s="108"/>
      <c r="AJ23" s="108" t="str">
        <f aca="false">IF(ISBLANK(AG23),"",AG23*AI23)</f>
        <v/>
      </c>
      <c r="AK23" s="103"/>
      <c r="AL23" s="113"/>
      <c r="AM23" s="113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IF(B24&gt;0,IF(C24&gt;0,MAX($A$5:A22)+1," ")," ")</f>
        <v>9</v>
      </c>
      <c r="B24" s="112" t="s">
        <v>308</v>
      </c>
      <c r="C24" s="113" t="n">
        <v>280</v>
      </c>
      <c r="D24" s="113" t="s">
        <v>301</v>
      </c>
      <c r="E24" s="108" t="n">
        <v>5</v>
      </c>
      <c r="F24" s="108" t="n">
        <f aca="false">IF(ISBLANK(C24),"",C24*E24)</f>
        <v>1400</v>
      </c>
      <c r="G24" s="103"/>
      <c r="H24" s="113" t="n">
        <v>280</v>
      </c>
      <c r="I24" s="113" t="s">
        <v>301</v>
      </c>
      <c r="J24" s="108" t="n">
        <v>5</v>
      </c>
      <c r="K24" s="108" t="n">
        <f aca="false">IF(ISBLANK(H24),"",H24*J24)</f>
        <v>1400</v>
      </c>
      <c r="L24" s="103"/>
      <c r="M24" s="113" t="n">
        <v>280</v>
      </c>
      <c r="N24" s="113" t="s">
        <v>301</v>
      </c>
      <c r="O24" s="108" t="n">
        <v>5</v>
      </c>
      <c r="P24" s="108" t="n">
        <f aca="false">IF(ISBLANK(M24),"",M24*O24)</f>
        <v>1400</v>
      </c>
      <c r="Q24" s="103"/>
      <c r="R24" s="113" t="n">
        <v>280</v>
      </c>
      <c r="S24" s="113" t="s">
        <v>301</v>
      </c>
      <c r="T24" s="108" t="n">
        <v>5</v>
      </c>
      <c r="U24" s="108" t="n">
        <f aca="false">IF(ISBLANK(R24),"",R24*T24)</f>
        <v>1400</v>
      </c>
      <c r="V24" s="103"/>
      <c r="W24" s="113"/>
      <c r="X24" s="113" t="s">
        <v>301</v>
      </c>
      <c r="Y24" s="108"/>
      <c r="Z24" s="108" t="str">
        <f aca="false">IF(ISBLANK(W24),"",W24*Y24)</f>
        <v/>
      </c>
      <c r="AA24" s="103"/>
      <c r="AB24" s="113"/>
      <c r="AC24" s="113" t="s">
        <v>301</v>
      </c>
      <c r="AD24" s="108"/>
      <c r="AE24" s="108" t="str">
        <f aca="false">IF(ISBLANK(AB24),"",AB24*AD24)</f>
        <v/>
      </c>
      <c r="AF24" s="103"/>
      <c r="AG24" s="113"/>
      <c r="AH24" s="113" t="s">
        <v>301</v>
      </c>
      <c r="AI24" s="108"/>
      <c r="AJ24" s="108" t="str">
        <f aca="false">IF(ISBLANK(AG24),"",AG24*AI24)</f>
        <v/>
      </c>
      <c r="AK24" s="103"/>
      <c r="AL24" s="113"/>
      <c r="AM24" s="113" t="s">
        <v>301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09"/>
      <c r="B25" s="112"/>
      <c r="C25" s="113"/>
      <c r="D25" s="113"/>
      <c r="E25" s="108"/>
      <c r="F25" s="108" t="str">
        <f aca="false">IF(ISBLANK(C25),"",C25*E25)</f>
        <v/>
      </c>
      <c r="G25" s="103"/>
      <c r="H25" s="113"/>
      <c r="I25" s="113"/>
      <c r="J25" s="108"/>
      <c r="K25" s="108" t="str">
        <f aca="false">IF(ISBLANK(H25),"",H25*J25)</f>
        <v/>
      </c>
      <c r="L25" s="103"/>
      <c r="M25" s="113"/>
      <c r="N25" s="113"/>
      <c r="O25" s="108"/>
      <c r="P25" s="108" t="str">
        <f aca="false">IF(ISBLANK(M25),"",M25*O25)</f>
        <v/>
      </c>
      <c r="Q25" s="103"/>
      <c r="R25" s="113"/>
      <c r="S25" s="113"/>
      <c r="T25" s="108"/>
      <c r="U25" s="108" t="str">
        <f aca="false">IF(ISBLANK(R25),"",R25*T25)</f>
        <v/>
      </c>
      <c r="V25" s="103"/>
      <c r="W25" s="113"/>
      <c r="X25" s="113"/>
      <c r="Y25" s="108"/>
      <c r="Z25" s="108" t="str">
        <f aca="false">IF(ISBLANK(W25),"",W25*Y25)</f>
        <v/>
      </c>
      <c r="AA25" s="103"/>
      <c r="AB25" s="113"/>
      <c r="AC25" s="113"/>
      <c r="AD25" s="108"/>
      <c r="AE25" s="108" t="str">
        <f aca="false">IF(ISBLANK(AB25),"",AB25*AD25)</f>
        <v/>
      </c>
      <c r="AF25" s="103"/>
      <c r="AG25" s="113"/>
      <c r="AH25" s="113"/>
      <c r="AI25" s="108"/>
      <c r="AJ25" s="108" t="str">
        <f aca="false">IF(ISBLANK(AG25),"",AG25*AI25)</f>
        <v/>
      </c>
      <c r="AK25" s="103"/>
      <c r="AL25" s="113"/>
      <c r="AM25" s="113"/>
      <c r="AN25" s="108"/>
      <c r="AO25" s="108" t="str">
        <f aca="false">IF(ISBLANK(AL25),"",AL25*AN25)</f>
        <v/>
      </c>
      <c r="AP25" s="103"/>
    </row>
    <row r="26" customFormat="false" ht="11.25" hidden="false" customHeight="true" outlineLevel="0" collapsed="false">
      <c r="A26" s="174" t="n">
        <f aca="false">IF(B26&gt;0,IF(C26&gt;0,MAX($A$5:A24)+1," ")," ")</f>
        <v>10</v>
      </c>
      <c r="B26" s="112" t="s">
        <v>309</v>
      </c>
      <c r="C26" s="113" t="n">
        <v>270</v>
      </c>
      <c r="D26" s="113" t="s">
        <v>301</v>
      </c>
      <c r="E26" s="108" t="n">
        <v>13</v>
      </c>
      <c r="F26" s="108" t="n">
        <f aca="false">IF(ISBLANK(C26),"",C26*E26)</f>
        <v>3510</v>
      </c>
      <c r="G26" s="103"/>
      <c r="H26" s="113" t="n">
        <v>270</v>
      </c>
      <c r="I26" s="113" t="s">
        <v>301</v>
      </c>
      <c r="J26" s="108" t="n">
        <v>13</v>
      </c>
      <c r="K26" s="108" t="n">
        <f aca="false">IF(ISBLANK(H26),"",H26*J26)</f>
        <v>3510</v>
      </c>
      <c r="L26" s="103"/>
      <c r="M26" s="113" t="n">
        <v>270</v>
      </c>
      <c r="N26" s="113" t="s">
        <v>301</v>
      </c>
      <c r="O26" s="108" t="n">
        <v>13</v>
      </c>
      <c r="P26" s="108" t="n">
        <f aca="false">IF(ISBLANK(M26),"",M26*O26)</f>
        <v>3510</v>
      </c>
      <c r="Q26" s="103"/>
      <c r="R26" s="113" t="n">
        <v>270</v>
      </c>
      <c r="S26" s="113" t="s">
        <v>301</v>
      </c>
      <c r="T26" s="108" t="n">
        <v>13</v>
      </c>
      <c r="U26" s="108" t="n">
        <f aca="false">IF(ISBLANK(R26),"",R26*T26)</f>
        <v>3510</v>
      </c>
      <c r="V26" s="103"/>
      <c r="W26" s="113"/>
      <c r="X26" s="113" t="s">
        <v>301</v>
      </c>
      <c r="Y26" s="108"/>
      <c r="Z26" s="108" t="str">
        <f aca="false">IF(ISBLANK(W26),"",W26*Y26)</f>
        <v/>
      </c>
      <c r="AA26" s="103"/>
      <c r="AB26" s="113"/>
      <c r="AC26" s="113" t="s">
        <v>301</v>
      </c>
      <c r="AD26" s="108"/>
      <c r="AE26" s="108" t="str">
        <f aca="false">IF(ISBLANK(AB26),"",AB26*AD26)</f>
        <v/>
      </c>
      <c r="AF26" s="103"/>
      <c r="AG26" s="113"/>
      <c r="AH26" s="113" t="s">
        <v>301</v>
      </c>
      <c r="AI26" s="108"/>
      <c r="AJ26" s="108" t="str">
        <f aca="false">IF(ISBLANK(AG26),"",AG26*AI26)</f>
        <v/>
      </c>
      <c r="AK26" s="103"/>
      <c r="AL26" s="113"/>
      <c r="AM26" s="113" t="s">
        <v>301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09"/>
      <c r="B27" s="112"/>
      <c r="C27" s="113"/>
      <c r="D27" s="113"/>
      <c r="E27" s="108"/>
      <c r="F27" s="108" t="str">
        <f aca="false">IF(ISBLANK(C27),"",C27*E27)</f>
        <v/>
      </c>
      <c r="G27" s="103"/>
      <c r="H27" s="113"/>
      <c r="I27" s="113"/>
      <c r="J27" s="108"/>
      <c r="K27" s="108" t="str">
        <f aca="false">IF(ISBLANK(H27),"",H27*J27)</f>
        <v/>
      </c>
      <c r="L27" s="103"/>
      <c r="M27" s="113"/>
      <c r="N27" s="113"/>
      <c r="O27" s="108"/>
      <c r="P27" s="108" t="str">
        <f aca="false">IF(ISBLANK(M27),"",M27*O27)</f>
        <v/>
      </c>
      <c r="Q27" s="103"/>
      <c r="R27" s="113"/>
      <c r="S27" s="113"/>
      <c r="T27" s="108"/>
      <c r="U27" s="108" t="str">
        <f aca="false">IF(ISBLANK(R27),"",R27*T27)</f>
        <v/>
      </c>
      <c r="V27" s="103"/>
      <c r="W27" s="113"/>
      <c r="X27" s="113"/>
      <c r="Y27" s="108"/>
      <c r="Z27" s="108" t="str">
        <f aca="false">IF(ISBLANK(W27),"",W27*Y27)</f>
        <v/>
      </c>
      <c r="AA27" s="103"/>
      <c r="AB27" s="113"/>
      <c r="AC27" s="113"/>
      <c r="AD27" s="108"/>
      <c r="AE27" s="108" t="str">
        <f aca="false">IF(ISBLANK(AB27),"",AB27*AD27)</f>
        <v/>
      </c>
      <c r="AF27" s="103"/>
      <c r="AG27" s="113"/>
      <c r="AH27" s="113"/>
      <c r="AI27" s="108"/>
      <c r="AJ27" s="108" t="str">
        <f aca="false">IF(ISBLANK(AG27),"",AG27*AI27)</f>
        <v/>
      </c>
      <c r="AK27" s="103"/>
      <c r="AL27" s="113"/>
      <c r="AM27" s="113"/>
      <c r="AN27" s="108"/>
      <c r="AO27" s="108" t="str">
        <f aca="false">IF(ISBLANK(AL27),"",AL27*AN27)</f>
        <v/>
      </c>
      <c r="AP27" s="103"/>
    </row>
    <row r="28" customFormat="false" ht="11.25" hidden="false" customHeight="true" outlineLevel="0" collapsed="false">
      <c r="A28" s="174" t="n">
        <f aca="false">IF(B28&gt;0,IF(C28&gt;0,MAX($A$5:A26)+1," ")," ")</f>
        <v>11</v>
      </c>
      <c r="B28" s="112" t="s">
        <v>310</v>
      </c>
      <c r="C28" s="113" t="n">
        <v>150</v>
      </c>
      <c r="D28" s="113" t="s">
        <v>272</v>
      </c>
      <c r="E28" s="108" t="n">
        <v>225</v>
      </c>
      <c r="F28" s="108" t="n">
        <f aca="false">IF(ISBLANK(C28),"",C28*E28)</f>
        <v>33750</v>
      </c>
      <c r="G28" s="103"/>
      <c r="H28" s="113" t="n">
        <v>150</v>
      </c>
      <c r="I28" s="113" t="s">
        <v>272</v>
      </c>
      <c r="J28" s="108" t="n">
        <v>225</v>
      </c>
      <c r="K28" s="108" t="n">
        <f aca="false">IF(ISBLANK(H28),"",H28*J28)</f>
        <v>33750</v>
      </c>
      <c r="L28" s="103"/>
      <c r="M28" s="113" t="n">
        <v>150</v>
      </c>
      <c r="N28" s="113" t="s">
        <v>272</v>
      </c>
      <c r="O28" s="108" t="n">
        <v>225</v>
      </c>
      <c r="P28" s="108" t="n">
        <f aca="false">IF(ISBLANK(M28),"",M28*O28)</f>
        <v>33750</v>
      </c>
      <c r="Q28" s="103"/>
      <c r="R28" s="113" t="n">
        <v>150</v>
      </c>
      <c r="S28" s="113" t="s">
        <v>272</v>
      </c>
      <c r="T28" s="108" t="n">
        <v>225</v>
      </c>
      <c r="U28" s="108" t="n">
        <f aca="false">IF(ISBLANK(R28),"",R28*T28)</f>
        <v>33750</v>
      </c>
      <c r="V28" s="103"/>
      <c r="W28" s="113"/>
      <c r="X28" s="113" t="s">
        <v>272</v>
      </c>
      <c r="Y28" s="108"/>
      <c r="Z28" s="108" t="str">
        <f aca="false">IF(ISBLANK(W28),"",W28*Y28)</f>
        <v/>
      </c>
      <c r="AA28" s="103"/>
      <c r="AB28" s="113"/>
      <c r="AC28" s="113" t="s">
        <v>272</v>
      </c>
      <c r="AD28" s="108"/>
      <c r="AE28" s="108" t="str">
        <f aca="false">IF(ISBLANK(AB28),"",AB28*AD28)</f>
        <v/>
      </c>
      <c r="AF28" s="103"/>
      <c r="AG28" s="113"/>
      <c r="AH28" s="113" t="s">
        <v>272</v>
      </c>
      <c r="AI28" s="108"/>
      <c r="AJ28" s="108" t="str">
        <f aca="false">IF(ISBLANK(AG28),"",AG28*AI28)</f>
        <v/>
      </c>
      <c r="AK28" s="103"/>
      <c r="AL28" s="113"/>
      <c r="AM28" s="113" t="s">
        <v>272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09"/>
      <c r="B29" s="112"/>
      <c r="C29" s="113"/>
      <c r="D29" s="113"/>
      <c r="E29" s="108"/>
      <c r="F29" s="108" t="str">
        <f aca="false">IF(ISBLANK(C29),"",C29*E29)</f>
        <v/>
      </c>
      <c r="G29" s="103"/>
      <c r="H29" s="113"/>
      <c r="I29" s="113"/>
      <c r="J29" s="108"/>
      <c r="K29" s="108" t="str">
        <f aca="false">IF(ISBLANK(H29),"",H29*J29)</f>
        <v/>
      </c>
      <c r="L29" s="103"/>
      <c r="M29" s="113"/>
      <c r="N29" s="113"/>
      <c r="O29" s="108"/>
      <c r="P29" s="108" t="str">
        <f aca="false">IF(ISBLANK(M29),"",M29*O29)</f>
        <v/>
      </c>
      <c r="Q29" s="103"/>
      <c r="R29" s="113"/>
      <c r="S29" s="113"/>
      <c r="T29" s="108"/>
      <c r="U29" s="108" t="str">
        <f aca="false">IF(ISBLANK(R29),"",R29*T29)</f>
        <v/>
      </c>
      <c r="V29" s="103"/>
      <c r="W29" s="113"/>
      <c r="X29" s="113"/>
      <c r="Y29" s="108"/>
      <c r="Z29" s="108" t="str">
        <f aca="false">IF(ISBLANK(W29),"",W29*Y29)</f>
        <v/>
      </c>
      <c r="AA29" s="103"/>
      <c r="AB29" s="113"/>
      <c r="AC29" s="113"/>
      <c r="AD29" s="108"/>
      <c r="AE29" s="108" t="str">
        <f aca="false">IF(ISBLANK(AB29),"",AB29*AD29)</f>
        <v/>
      </c>
      <c r="AF29" s="103"/>
      <c r="AG29" s="113"/>
      <c r="AH29" s="113"/>
      <c r="AI29" s="108"/>
      <c r="AJ29" s="108" t="str">
        <f aca="false">IF(ISBLANK(AG29),"",AG29*AI29)</f>
        <v/>
      </c>
      <c r="AK29" s="103"/>
      <c r="AL29" s="113"/>
      <c r="AM29" s="113"/>
      <c r="AN29" s="108"/>
      <c r="AO29" s="108" t="str">
        <f aca="false">IF(ISBLANK(AL29),"",AL29*AN29)</f>
        <v/>
      </c>
      <c r="AP29" s="103"/>
    </row>
    <row r="30" customFormat="false" ht="11.25" hidden="false" customHeight="true" outlineLevel="0" collapsed="false">
      <c r="A30" s="174" t="n">
        <f aca="false">IF(B30&gt;0,IF(C30&gt;0,MAX($A$5:A28)+1," ")," ")</f>
        <v>12</v>
      </c>
      <c r="B30" s="112" t="s">
        <v>311</v>
      </c>
      <c r="C30" s="113" t="n">
        <v>25</v>
      </c>
      <c r="D30" s="113" t="s">
        <v>272</v>
      </c>
      <c r="E30" s="108" t="n">
        <v>15</v>
      </c>
      <c r="F30" s="108" t="n">
        <f aca="false">IF(ISBLANK(C30),"",C30*E30)</f>
        <v>375</v>
      </c>
      <c r="G30" s="103"/>
      <c r="H30" s="113" t="n">
        <v>25</v>
      </c>
      <c r="I30" s="113" t="s">
        <v>272</v>
      </c>
      <c r="J30" s="108" t="n">
        <v>15</v>
      </c>
      <c r="K30" s="108" t="n">
        <f aca="false">IF(ISBLANK(H30),"",H30*J30)</f>
        <v>375</v>
      </c>
      <c r="L30" s="103"/>
      <c r="M30" s="113" t="n">
        <v>25</v>
      </c>
      <c r="N30" s="113" t="s">
        <v>272</v>
      </c>
      <c r="O30" s="108" t="n">
        <v>15</v>
      </c>
      <c r="P30" s="108" t="n">
        <f aca="false">IF(ISBLANK(M30),"",M30*O30)</f>
        <v>375</v>
      </c>
      <c r="Q30" s="103"/>
      <c r="R30" s="113" t="n">
        <v>25</v>
      </c>
      <c r="S30" s="113" t="s">
        <v>272</v>
      </c>
      <c r="T30" s="108" t="n">
        <v>15</v>
      </c>
      <c r="U30" s="108" t="n">
        <f aca="false">IF(ISBLANK(R30),"",R30*T30)</f>
        <v>375</v>
      </c>
      <c r="V30" s="103"/>
      <c r="W30" s="113"/>
      <c r="X30" s="113" t="s">
        <v>272</v>
      </c>
      <c r="Y30" s="108"/>
      <c r="Z30" s="108" t="str">
        <f aca="false">IF(ISBLANK(W30),"",W30*Y30)</f>
        <v/>
      </c>
      <c r="AA30" s="103"/>
      <c r="AB30" s="113"/>
      <c r="AC30" s="113" t="s">
        <v>272</v>
      </c>
      <c r="AD30" s="108"/>
      <c r="AE30" s="108" t="str">
        <f aca="false">IF(ISBLANK(AB30),"",AB30*AD30)</f>
        <v/>
      </c>
      <c r="AF30" s="103"/>
      <c r="AG30" s="113"/>
      <c r="AH30" s="113" t="s">
        <v>272</v>
      </c>
      <c r="AI30" s="108"/>
      <c r="AJ30" s="108" t="str">
        <f aca="false">IF(ISBLANK(AG30),"",AG30*AI30)</f>
        <v/>
      </c>
      <c r="AK30" s="103"/>
      <c r="AL30" s="113"/>
      <c r="AM30" s="113" t="s">
        <v>272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09"/>
      <c r="B31" s="112"/>
      <c r="C31" s="113"/>
      <c r="D31" s="113"/>
      <c r="E31" s="108"/>
      <c r="F31" s="108" t="str">
        <f aca="false">IF(ISBLANK(C31),"",C31*E31)</f>
        <v/>
      </c>
      <c r="G31" s="103"/>
      <c r="H31" s="113"/>
      <c r="I31" s="113"/>
      <c r="J31" s="108"/>
      <c r="K31" s="108" t="str">
        <f aca="false">IF(ISBLANK(H31),"",H31*J31)</f>
        <v/>
      </c>
      <c r="L31" s="103"/>
      <c r="M31" s="113"/>
      <c r="N31" s="113"/>
      <c r="O31" s="108"/>
      <c r="P31" s="108" t="str">
        <f aca="false">IF(ISBLANK(M31),"",M31*O31)</f>
        <v/>
      </c>
      <c r="Q31" s="103"/>
      <c r="R31" s="113"/>
      <c r="S31" s="113"/>
      <c r="T31" s="108"/>
      <c r="U31" s="108" t="str">
        <f aca="false">IF(ISBLANK(R31),"",R31*T31)</f>
        <v/>
      </c>
      <c r="V31" s="103"/>
      <c r="W31" s="113"/>
      <c r="X31" s="113"/>
      <c r="Y31" s="108"/>
      <c r="Z31" s="108" t="str">
        <f aca="false">IF(ISBLANK(W31),"",W31*Y31)</f>
        <v/>
      </c>
      <c r="AA31" s="103"/>
      <c r="AB31" s="113"/>
      <c r="AC31" s="113"/>
      <c r="AD31" s="108"/>
      <c r="AE31" s="108" t="str">
        <f aca="false">IF(ISBLANK(AB31),"",AB31*AD31)</f>
        <v/>
      </c>
      <c r="AF31" s="103"/>
      <c r="AG31" s="113"/>
      <c r="AH31" s="113"/>
      <c r="AI31" s="108"/>
      <c r="AJ31" s="108" t="str">
        <f aca="false">IF(ISBLANK(AG31),"",AG31*AI31)</f>
        <v/>
      </c>
      <c r="AK31" s="103"/>
      <c r="AL31" s="113"/>
      <c r="AM31" s="113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IF(B32&gt;0,IF(C32&gt;0,MAX($A$5:A30)+1," ")," ")</f>
        <v>13</v>
      </c>
      <c r="B32" s="112" t="s">
        <v>312</v>
      </c>
      <c r="C32" s="113" t="n">
        <v>50</v>
      </c>
      <c r="D32" s="113" t="s">
        <v>272</v>
      </c>
      <c r="E32" s="108" t="n">
        <v>25</v>
      </c>
      <c r="F32" s="108" t="n">
        <f aca="false">IF(ISBLANK(C32),"",C32*E32)</f>
        <v>1250</v>
      </c>
      <c r="G32" s="103"/>
      <c r="H32" s="113" t="n">
        <v>50</v>
      </c>
      <c r="I32" s="113" t="s">
        <v>272</v>
      </c>
      <c r="J32" s="108" t="n">
        <v>25</v>
      </c>
      <c r="K32" s="108" t="n">
        <f aca="false">IF(ISBLANK(H32),"",H32*J32)</f>
        <v>1250</v>
      </c>
      <c r="L32" s="103"/>
      <c r="M32" s="113" t="n">
        <v>50</v>
      </c>
      <c r="N32" s="113" t="s">
        <v>272</v>
      </c>
      <c r="O32" s="108" t="n">
        <v>25</v>
      </c>
      <c r="P32" s="108" t="n">
        <f aca="false">IF(ISBLANK(M32),"",M32*O32)</f>
        <v>1250</v>
      </c>
      <c r="Q32" s="103"/>
      <c r="R32" s="113" t="n">
        <v>50</v>
      </c>
      <c r="S32" s="113" t="s">
        <v>272</v>
      </c>
      <c r="T32" s="108" t="n">
        <v>25</v>
      </c>
      <c r="U32" s="108" t="n">
        <f aca="false">IF(ISBLANK(R32),"",R32*T32)</f>
        <v>1250</v>
      </c>
      <c r="V32" s="103"/>
      <c r="W32" s="113"/>
      <c r="X32" s="113" t="s">
        <v>272</v>
      </c>
      <c r="Y32" s="108"/>
      <c r="Z32" s="108" t="str">
        <f aca="false">IF(ISBLANK(W32),"",W32*Y32)</f>
        <v/>
      </c>
      <c r="AA32" s="103"/>
      <c r="AB32" s="113"/>
      <c r="AC32" s="113" t="s">
        <v>272</v>
      </c>
      <c r="AD32" s="108"/>
      <c r="AE32" s="108" t="str">
        <f aca="false">IF(ISBLANK(AB32),"",AB32*AD32)</f>
        <v/>
      </c>
      <c r="AF32" s="103"/>
      <c r="AG32" s="113"/>
      <c r="AH32" s="113" t="s">
        <v>272</v>
      </c>
      <c r="AI32" s="108"/>
      <c r="AJ32" s="108" t="str">
        <f aca="false">IF(ISBLANK(AG32),"",AG32*AI32)</f>
        <v/>
      </c>
      <c r="AK32" s="103"/>
      <c r="AL32" s="113"/>
      <c r="AM32" s="113" t="s">
        <v>272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09"/>
      <c r="B33" s="112"/>
      <c r="C33" s="113"/>
      <c r="D33" s="113"/>
      <c r="E33" s="108"/>
      <c r="F33" s="108" t="str">
        <f aca="false">IF(ISBLANK(C33),"",C33*E33)</f>
        <v/>
      </c>
      <c r="G33" s="103"/>
      <c r="H33" s="113"/>
      <c r="I33" s="113"/>
      <c r="J33" s="108"/>
      <c r="K33" s="108" t="str">
        <f aca="false">IF(ISBLANK(H33),"",H33*J33)</f>
        <v/>
      </c>
      <c r="L33" s="103"/>
      <c r="M33" s="113"/>
      <c r="N33" s="113"/>
      <c r="O33" s="108"/>
      <c r="P33" s="108" t="str">
        <f aca="false">IF(ISBLANK(M33),"",M33*O33)</f>
        <v/>
      </c>
      <c r="Q33" s="103"/>
      <c r="R33" s="113"/>
      <c r="S33" s="113"/>
      <c r="T33" s="108"/>
      <c r="U33" s="108" t="str">
        <f aca="false">IF(ISBLANK(R33),"",R33*T33)</f>
        <v/>
      </c>
      <c r="V33" s="103"/>
      <c r="W33" s="113"/>
      <c r="X33" s="113"/>
      <c r="Y33" s="108"/>
      <c r="Z33" s="108" t="str">
        <f aca="false">IF(ISBLANK(W33),"",W33*Y33)</f>
        <v/>
      </c>
      <c r="AA33" s="103"/>
      <c r="AB33" s="113"/>
      <c r="AC33" s="113"/>
      <c r="AD33" s="108"/>
      <c r="AE33" s="108" t="str">
        <f aca="false">IF(ISBLANK(AB33),"",AB33*AD33)</f>
        <v/>
      </c>
      <c r="AF33" s="103"/>
      <c r="AG33" s="113"/>
      <c r="AH33" s="113"/>
      <c r="AI33" s="108"/>
      <c r="AJ33" s="108" t="str">
        <f aca="false">IF(ISBLANK(AG33),"",AG33*AI33)</f>
        <v/>
      </c>
      <c r="AK33" s="103"/>
      <c r="AL33" s="113"/>
      <c r="AM33" s="113"/>
      <c r="AN33" s="108"/>
      <c r="AO33" s="108" t="str">
        <f aca="false">IF(ISBLANK(AL33),"",AL33*AN33)</f>
        <v/>
      </c>
      <c r="AP33" s="103"/>
    </row>
    <row r="34" customFormat="false" ht="11.25" hidden="false" customHeight="true" outlineLevel="0" collapsed="false">
      <c r="A34" s="174" t="n">
        <f aca="false">IF(B34&gt;0,IF(C34&gt;0,MAX($A$5:A32)+1," ")," ")</f>
        <v>14</v>
      </c>
      <c r="B34" s="112" t="s">
        <v>313</v>
      </c>
      <c r="C34" s="113" t="n">
        <v>1</v>
      </c>
      <c r="D34" s="113" t="s">
        <v>209</v>
      </c>
      <c r="E34" s="108" t="n">
        <v>500</v>
      </c>
      <c r="F34" s="108" t="n">
        <f aca="false">IF(ISBLANK(C34),"",C34*E34)</f>
        <v>500</v>
      </c>
      <c r="G34" s="103"/>
      <c r="H34" s="113" t="n">
        <v>1</v>
      </c>
      <c r="I34" s="113" t="s">
        <v>209</v>
      </c>
      <c r="J34" s="108" t="n">
        <v>500</v>
      </c>
      <c r="K34" s="108" t="n">
        <f aca="false">IF(ISBLANK(H34),"",H34*J34)</f>
        <v>500</v>
      </c>
      <c r="L34" s="103"/>
      <c r="M34" s="113" t="n">
        <v>1</v>
      </c>
      <c r="N34" s="113" t="s">
        <v>209</v>
      </c>
      <c r="O34" s="108" t="n">
        <v>500</v>
      </c>
      <c r="P34" s="108" t="n">
        <f aca="false">IF(ISBLANK(M34),"",M34*O34)</f>
        <v>500</v>
      </c>
      <c r="Q34" s="103"/>
      <c r="R34" s="113" t="n">
        <v>1</v>
      </c>
      <c r="S34" s="113" t="s">
        <v>209</v>
      </c>
      <c r="T34" s="108" t="n">
        <v>500</v>
      </c>
      <c r="U34" s="108" t="n">
        <f aca="false">IF(ISBLANK(R34),"",R34*T34)</f>
        <v>500</v>
      </c>
      <c r="V34" s="103"/>
      <c r="W34" s="113"/>
      <c r="X34" s="113" t="s">
        <v>209</v>
      </c>
      <c r="Y34" s="108"/>
      <c r="Z34" s="108" t="str">
        <f aca="false">IF(ISBLANK(W34),"",W34*Y34)</f>
        <v/>
      </c>
      <c r="AA34" s="103"/>
      <c r="AB34" s="113"/>
      <c r="AC34" s="113" t="s">
        <v>209</v>
      </c>
      <c r="AD34" s="108"/>
      <c r="AE34" s="108" t="str">
        <f aca="false">IF(ISBLANK(AB34),"",AB34*AD34)</f>
        <v/>
      </c>
      <c r="AF34" s="103"/>
      <c r="AG34" s="113"/>
      <c r="AH34" s="113" t="s">
        <v>209</v>
      </c>
      <c r="AI34" s="108"/>
      <c r="AJ34" s="108" t="str">
        <f aca="false">IF(ISBLANK(AG34),"",AG34*AI34)</f>
        <v/>
      </c>
      <c r="AK34" s="103"/>
      <c r="AL34" s="113"/>
      <c r="AM34" s="113" t="s">
        <v>209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09"/>
      <c r="B35" s="112"/>
      <c r="C35" s="113"/>
      <c r="D35" s="113"/>
      <c r="E35" s="108"/>
      <c r="F35" s="108" t="str">
        <f aca="false">IF(ISBLANK(C35),"",C35*E35)</f>
        <v/>
      </c>
      <c r="G35" s="103"/>
      <c r="H35" s="113"/>
      <c r="I35" s="113"/>
      <c r="J35" s="108"/>
      <c r="K35" s="108" t="str">
        <f aca="false">IF(ISBLANK(H35),"",H35*J35)</f>
        <v/>
      </c>
      <c r="L35" s="103"/>
      <c r="M35" s="113"/>
      <c r="N35" s="113"/>
      <c r="O35" s="108"/>
      <c r="P35" s="108" t="str">
        <f aca="false">IF(ISBLANK(M35),"",M35*O35)</f>
        <v/>
      </c>
      <c r="Q35" s="103"/>
      <c r="R35" s="113"/>
      <c r="S35" s="113"/>
      <c r="T35" s="108"/>
      <c r="U35" s="108" t="str">
        <f aca="false">IF(ISBLANK(R35),"",R35*T35)</f>
        <v/>
      </c>
      <c r="V35" s="103"/>
      <c r="W35" s="113"/>
      <c r="X35" s="113"/>
      <c r="Y35" s="108"/>
      <c r="Z35" s="108" t="str">
        <f aca="false">IF(ISBLANK(W35),"",W35*Y35)</f>
        <v/>
      </c>
      <c r="AA35" s="103"/>
      <c r="AB35" s="113"/>
      <c r="AC35" s="113"/>
      <c r="AD35" s="108"/>
      <c r="AE35" s="108" t="str">
        <f aca="false">IF(ISBLANK(AB35),"",AB35*AD35)</f>
        <v/>
      </c>
      <c r="AF35" s="103"/>
      <c r="AG35" s="113"/>
      <c r="AH35" s="113"/>
      <c r="AI35" s="108"/>
      <c r="AJ35" s="108" t="str">
        <f aca="false">IF(ISBLANK(AG35),"",AG35*AI35)</f>
        <v/>
      </c>
      <c r="AK35" s="103"/>
      <c r="AL35" s="113"/>
      <c r="AM35" s="113"/>
      <c r="AN35" s="108"/>
      <c r="AO35" s="108" t="str">
        <f aca="false">IF(ISBLANK(AL35),"",AL35*AN35)</f>
        <v/>
      </c>
      <c r="AP35" s="103"/>
    </row>
    <row r="36" customFormat="false" ht="11.25" hidden="false" customHeight="true" outlineLevel="0" collapsed="false">
      <c r="A36" s="174" t="n">
        <f aca="false">IF(B36&gt;0,IF(C36&gt;0,MAX($A$5:A34)+1," ")," ")</f>
        <v>15</v>
      </c>
      <c r="B36" s="112" t="s">
        <v>314</v>
      </c>
      <c r="C36" s="113" t="n">
        <v>6</v>
      </c>
      <c r="D36" s="113" t="s">
        <v>118</v>
      </c>
      <c r="E36" s="108" t="n">
        <v>200</v>
      </c>
      <c r="F36" s="108" t="n">
        <f aca="false">IF(ISBLANK(C36),"",C36*E36)</f>
        <v>1200</v>
      </c>
      <c r="G36" s="103"/>
      <c r="H36" s="113" t="n">
        <v>6</v>
      </c>
      <c r="I36" s="113" t="s">
        <v>118</v>
      </c>
      <c r="J36" s="108" t="n">
        <v>200</v>
      </c>
      <c r="K36" s="108" t="n">
        <f aca="false">IF(ISBLANK(H36),"",H36*J36)</f>
        <v>1200</v>
      </c>
      <c r="L36" s="103"/>
      <c r="M36" s="113" t="n">
        <v>6</v>
      </c>
      <c r="N36" s="113" t="s">
        <v>118</v>
      </c>
      <c r="O36" s="108" t="n">
        <v>200</v>
      </c>
      <c r="P36" s="108" t="n">
        <f aca="false">IF(ISBLANK(M36),"",M36*O36)</f>
        <v>1200</v>
      </c>
      <c r="Q36" s="103"/>
      <c r="R36" s="113" t="n">
        <v>6</v>
      </c>
      <c r="S36" s="113" t="s">
        <v>118</v>
      </c>
      <c r="T36" s="108" t="n">
        <v>200</v>
      </c>
      <c r="U36" s="108" t="n">
        <f aca="false">IF(ISBLANK(R36),"",R36*T36)</f>
        <v>1200</v>
      </c>
      <c r="V36" s="103"/>
      <c r="W36" s="113"/>
      <c r="X36" s="113" t="s">
        <v>118</v>
      </c>
      <c r="Y36" s="108"/>
      <c r="Z36" s="108" t="str">
        <f aca="false">IF(ISBLANK(W36),"",W36*Y36)</f>
        <v/>
      </c>
      <c r="AA36" s="103"/>
      <c r="AB36" s="113"/>
      <c r="AC36" s="113" t="s">
        <v>118</v>
      </c>
      <c r="AD36" s="108"/>
      <c r="AE36" s="108" t="str">
        <f aca="false">IF(ISBLANK(AB36),"",AB36*AD36)</f>
        <v/>
      </c>
      <c r="AF36" s="103"/>
      <c r="AG36" s="113"/>
      <c r="AH36" s="113" t="s">
        <v>118</v>
      </c>
      <c r="AI36" s="108"/>
      <c r="AJ36" s="108" t="str">
        <f aca="false">IF(ISBLANK(AG36),"",AG36*AI36)</f>
        <v/>
      </c>
      <c r="AK36" s="103"/>
      <c r="AL36" s="113"/>
      <c r="AM36" s="113" t="s">
        <v>118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09"/>
      <c r="B37" s="112"/>
      <c r="C37" s="113"/>
      <c r="D37" s="113"/>
      <c r="E37" s="108"/>
      <c r="F37" s="108" t="str">
        <f aca="false">IF(ISBLANK(C37),"",C37*E37)</f>
        <v/>
      </c>
      <c r="G37" s="103"/>
      <c r="H37" s="113"/>
      <c r="I37" s="113"/>
      <c r="J37" s="108"/>
      <c r="K37" s="108" t="str">
        <f aca="false">IF(ISBLANK(H37),"",H37*J37)</f>
        <v/>
      </c>
      <c r="L37" s="103"/>
      <c r="M37" s="113"/>
      <c r="N37" s="113"/>
      <c r="O37" s="108"/>
      <c r="P37" s="108" t="str">
        <f aca="false">IF(ISBLANK(M37),"",M37*O37)</f>
        <v/>
      </c>
      <c r="Q37" s="103"/>
      <c r="R37" s="113"/>
      <c r="S37" s="113"/>
      <c r="T37" s="108"/>
      <c r="U37" s="108" t="str">
        <f aca="false">IF(ISBLANK(R37),"",R37*T37)</f>
        <v/>
      </c>
      <c r="V37" s="103"/>
      <c r="W37" s="113"/>
      <c r="X37" s="113"/>
      <c r="Y37" s="108"/>
      <c r="Z37" s="108" t="str">
        <f aca="false">IF(ISBLANK(W37),"",W37*Y37)</f>
        <v/>
      </c>
      <c r="AA37" s="103"/>
      <c r="AB37" s="113"/>
      <c r="AC37" s="113"/>
      <c r="AD37" s="108"/>
      <c r="AE37" s="108" t="str">
        <f aca="false">IF(ISBLANK(AB37),"",AB37*AD37)</f>
        <v/>
      </c>
      <c r="AF37" s="103"/>
      <c r="AG37" s="113"/>
      <c r="AH37" s="113"/>
      <c r="AI37" s="108"/>
      <c r="AJ37" s="108" t="str">
        <f aca="false">IF(ISBLANK(AG37),"",AG37*AI37)</f>
        <v/>
      </c>
      <c r="AK37" s="103"/>
      <c r="AL37" s="113"/>
      <c r="AM37" s="113"/>
      <c r="AN37" s="108"/>
      <c r="AO37" s="108" t="str">
        <f aca="false">IF(ISBLANK(AL37),"",AL37*AN37)</f>
        <v/>
      </c>
      <c r="AP37" s="103"/>
    </row>
    <row r="38" customFormat="false" ht="11.25" hidden="false" customHeight="true" outlineLevel="0" collapsed="false">
      <c r="A38" s="174" t="n">
        <f aca="false">IF(B38&gt;0,IF(C38&gt;0,MAX($A$5:A36)+1," ")," ")</f>
        <v>16</v>
      </c>
      <c r="B38" s="112" t="s">
        <v>315</v>
      </c>
      <c r="C38" s="113" t="n">
        <v>10</v>
      </c>
      <c r="D38" s="113" t="s">
        <v>301</v>
      </c>
      <c r="E38" s="108" t="n">
        <v>350</v>
      </c>
      <c r="F38" s="108" t="n">
        <f aca="false">IF(ISBLANK(C38),"",C38*E38)</f>
        <v>3500</v>
      </c>
      <c r="G38" s="103"/>
      <c r="H38" s="113" t="n">
        <v>10</v>
      </c>
      <c r="I38" s="113" t="s">
        <v>301</v>
      </c>
      <c r="J38" s="108" t="n">
        <v>350</v>
      </c>
      <c r="K38" s="108" t="n">
        <f aca="false">IF(ISBLANK(H38),"",H38*J38)</f>
        <v>3500</v>
      </c>
      <c r="L38" s="103"/>
      <c r="M38" s="113" t="n">
        <v>10</v>
      </c>
      <c r="N38" s="113" t="s">
        <v>301</v>
      </c>
      <c r="O38" s="108" t="n">
        <v>350</v>
      </c>
      <c r="P38" s="108" t="n">
        <f aca="false">IF(ISBLANK(M38),"",M38*O38)</f>
        <v>3500</v>
      </c>
      <c r="Q38" s="103"/>
      <c r="R38" s="113" t="n">
        <v>10</v>
      </c>
      <c r="S38" s="113" t="s">
        <v>301</v>
      </c>
      <c r="T38" s="108" t="n">
        <v>350</v>
      </c>
      <c r="U38" s="108" t="n">
        <f aca="false">IF(ISBLANK(R38),"",R38*T38)</f>
        <v>3500</v>
      </c>
      <c r="V38" s="103"/>
      <c r="W38" s="113"/>
      <c r="X38" s="113" t="s">
        <v>301</v>
      </c>
      <c r="Y38" s="108"/>
      <c r="Z38" s="108" t="str">
        <f aca="false">IF(ISBLANK(W38),"",W38*Y38)</f>
        <v/>
      </c>
      <c r="AA38" s="103"/>
      <c r="AB38" s="113"/>
      <c r="AC38" s="113" t="s">
        <v>301</v>
      </c>
      <c r="AD38" s="108"/>
      <c r="AE38" s="108" t="str">
        <f aca="false">IF(ISBLANK(AB38),"",AB38*AD38)</f>
        <v/>
      </c>
      <c r="AF38" s="103"/>
      <c r="AG38" s="113"/>
      <c r="AH38" s="113" t="s">
        <v>301</v>
      </c>
      <c r="AI38" s="108"/>
      <c r="AJ38" s="108" t="str">
        <f aca="false">IF(ISBLANK(AG38),"",AG38*AI38)</f>
        <v/>
      </c>
      <c r="AK38" s="103"/>
      <c r="AL38" s="113"/>
      <c r="AM38" s="113" t="s">
        <v>301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09"/>
      <c r="B39" s="112"/>
      <c r="C39" s="113"/>
      <c r="D39" s="113"/>
      <c r="E39" s="108"/>
      <c r="F39" s="108" t="str">
        <f aca="false">IF(ISBLANK(C39),"",C39*E39)</f>
        <v/>
      </c>
      <c r="G39" s="103"/>
      <c r="H39" s="113"/>
      <c r="I39" s="113"/>
      <c r="J39" s="108"/>
      <c r="K39" s="108" t="str">
        <f aca="false">IF(ISBLANK(H39),"",H39*J39)</f>
        <v/>
      </c>
      <c r="L39" s="103"/>
      <c r="M39" s="113"/>
      <c r="N39" s="113"/>
      <c r="O39" s="108"/>
      <c r="P39" s="108" t="str">
        <f aca="false">IF(ISBLANK(M39),"",M39*O39)</f>
        <v/>
      </c>
      <c r="Q39" s="103"/>
      <c r="R39" s="113"/>
      <c r="S39" s="113"/>
      <c r="T39" s="108"/>
      <c r="U39" s="108" t="str">
        <f aca="false">IF(ISBLANK(R39),"",R39*T39)</f>
        <v/>
      </c>
      <c r="V39" s="103"/>
      <c r="W39" s="113"/>
      <c r="X39" s="113"/>
      <c r="Y39" s="108"/>
      <c r="Z39" s="108" t="str">
        <f aca="false">IF(ISBLANK(W39),"",W39*Y39)</f>
        <v/>
      </c>
      <c r="AA39" s="103"/>
      <c r="AB39" s="113"/>
      <c r="AC39" s="113"/>
      <c r="AD39" s="108"/>
      <c r="AE39" s="108" t="str">
        <f aca="false">IF(ISBLANK(AB39),"",AB39*AD39)</f>
        <v/>
      </c>
      <c r="AF39" s="103"/>
      <c r="AG39" s="113"/>
      <c r="AH39" s="113"/>
      <c r="AI39" s="108"/>
      <c r="AJ39" s="108" t="str">
        <f aca="false">IF(ISBLANK(AG39),"",AG39*AI39)</f>
        <v/>
      </c>
      <c r="AK39" s="103"/>
      <c r="AL39" s="113"/>
      <c r="AM39" s="113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IF(B40&gt;0,IF(C40&gt;0,MAX($A$5:A38)+1," ")," ")</f>
        <v>17</v>
      </c>
      <c r="B40" s="112" t="s">
        <v>316</v>
      </c>
      <c r="C40" s="113" t="n">
        <v>10</v>
      </c>
      <c r="D40" s="113" t="s">
        <v>301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113" t="s">
        <v>301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113" t="s">
        <v>301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113" t="s">
        <v>301</v>
      </c>
      <c r="T40" s="108" t="n">
        <v>100</v>
      </c>
      <c r="U40" s="108" t="n">
        <f aca="false">IF(ISBLANK(R40),"",R40*T40)</f>
        <v>1000</v>
      </c>
      <c r="V40" s="103"/>
      <c r="W40" s="113"/>
      <c r="X40" s="113" t="s">
        <v>301</v>
      </c>
      <c r="Y40" s="108"/>
      <c r="Z40" s="108" t="str">
        <f aca="false">IF(ISBLANK(W40),"",W40*Y40)</f>
        <v/>
      </c>
      <c r="AA40" s="103"/>
      <c r="AB40" s="113"/>
      <c r="AC40" s="113" t="s">
        <v>301</v>
      </c>
      <c r="AD40" s="108"/>
      <c r="AE40" s="108" t="str">
        <f aca="false">IF(ISBLANK(AB40),"",AB40*AD40)</f>
        <v/>
      </c>
      <c r="AF40" s="103"/>
      <c r="AG40" s="113"/>
      <c r="AH40" s="113" t="s">
        <v>301</v>
      </c>
      <c r="AI40" s="108"/>
      <c r="AJ40" s="108" t="str">
        <f aca="false">IF(ISBLANK(AG40),"",AG40*AI40)</f>
        <v/>
      </c>
      <c r="AK40" s="103"/>
      <c r="AL40" s="113"/>
      <c r="AM40" s="113" t="s">
        <v>301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09"/>
      <c r="B41" s="112"/>
      <c r="C41" s="113"/>
      <c r="D41" s="113"/>
      <c r="E41" s="108"/>
      <c r="F41" s="108" t="str">
        <f aca="false">IF(ISBLANK(C41),"",C41*E41)</f>
        <v/>
      </c>
      <c r="G41" s="103"/>
      <c r="H41" s="113"/>
      <c r="I41" s="113"/>
      <c r="J41" s="108"/>
      <c r="K41" s="108" t="str">
        <f aca="false">IF(ISBLANK(H41),"",H41*J41)</f>
        <v/>
      </c>
      <c r="L41" s="103"/>
      <c r="M41" s="113"/>
      <c r="N41" s="113"/>
      <c r="O41" s="108"/>
      <c r="P41" s="108" t="str">
        <f aca="false">IF(ISBLANK(M41),"",M41*O41)</f>
        <v/>
      </c>
      <c r="Q41" s="103"/>
      <c r="R41" s="113"/>
      <c r="S41" s="113"/>
      <c r="T41" s="108"/>
      <c r="U41" s="108" t="str">
        <f aca="false">IF(ISBLANK(R41),"",R41*T41)</f>
        <v/>
      </c>
      <c r="V41" s="103"/>
      <c r="W41" s="113"/>
      <c r="X41" s="113"/>
      <c r="Y41" s="108"/>
      <c r="Z41" s="108" t="str">
        <f aca="false">IF(ISBLANK(W41),"",W41*Y41)</f>
        <v/>
      </c>
      <c r="AA41" s="103"/>
      <c r="AB41" s="113"/>
      <c r="AC41" s="113"/>
      <c r="AD41" s="108"/>
      <c r="AE41" s="108" t="str">
        <f aca="false">IF(ISBLANK(AB41),"",AB41*AD41)</f>
        <v/>
      </c>
      <c r="AF41" s="103"/>
      <c r="AG41" s="113"/>
      <c r="AH41" s="113"/>
      <c r="AI41" s="108"/>
      <c r="AJ41" s="108" t="str">
        <f aca="false">IF(ISBLANK(AG41),"",AG41*AI41)</f>
        <v/>
      </c>
      <c r="AK41" s="103"/>
      <c r="AL41" s="113"/>
      <c r="AM41" s="113"/>
      <c r="AN41" s="108"/>
      <c r="AO41" s="108" t="str">
        <f aca="false">IF(ISBLANK(AL41),"",AL41*AN41)</f>
        <v/>
      </c>
      <c r="AP41" s="103"/>
    </row>
    <row r="42" customFormat="false" ht="11.25" hidden="false" customHeight="true" outlineLevel="0" collapsed="false">
      <c r="A42" s="174" t="n">
        <f aca="false">IF(B42&gt;0,IF(C42&gt;0,MAX($A$5:A40)+1," ")," ")</f>
        <v>18</v>
      </c>
      <c r="B42" s="112" t="s">
        <v>317</v>
      </c>
      <c r="C42" s="113" t="n">
        <v>10</v>
      </c>
      <c r="D42" s="113" t="s">
        <v>301</v>
      </c>
      <c r="E42" s="108" t="n">
        <v>65</v>
      </c>
      <c r="F42" s="108" t="n">
        <f aca="false">IF(ISBLANK(C42),"",C42*E42)</f>
        <v>650</v>
      </c>
      <c r="G42" s="103"/>
      <c r="H42" s="113" t="n">
        <v>10</v>
      </c>
      <c r="I42" s="113" t="s">
        <v>301</v>
      </c>
      <c r="J42" s="108" t="n">
        <v>65</v>
      </c>
      <c r="K42" s="108" t="n">
        <f aca="false">IF(ISBLANK(H42),"",H42*J42)</f>
        <v>650</v>
      </c>
      <c r="L42" s="103"/>
      <c r="M42" s="113" t="n">
        <v>10</v>
      </c>
      <c r="N42" s="113" t="s">
        <v>301</v>
      </c>
      <c r="O42" s="108" t="n">
        <v>65</v>
      </c>
      <c r="P42" s="108" t="n">
        <f aca="false">IF(ISBLANK(M42),"",M42*O42)</f>
        <v>650</v>
      </c>
      <c r="Q42" s="103"/>
      <c r="R42" s="113" t="n">
        <v>10</v>
      </c>
      <c r="S42" s="113" t="s">
        <v>301</v>
      </c>
      <c r="T42" s="108" t="n">
        <v>65</v>
      </c>
      <c r="U42" s="108" t="n">
        <f aca="false">IF(ISBLANK(R42),"",R42*T42)</f>
        <v>650</v>
      </c>
      <c r="V42" s="103"/>
      <c r="W42" s="113"/>
      <c r="X42" s="113" t="s">
        <v>301</v>
      </c>
      <c r="Y42" s="108"/>
      <c r="Z42" s="108" t="str">
        <f aca="false">IF(ISBLANK(W42),"",W42*Y42)</f>
        <v/>
      </c>
      <c r="AA42" s="103"/>
      <c r="AB42" s="113"/>
      <c r="AC42" s="113" t="s">
        <v>301</v>
      </c>
      <c r="AD42" s="108"/>
      <c r="AE42" s="108" t="str">
        <f aca="false">IF(ISBLANK(AB42),"",AB42*AD42)</f>
        <v/>
      </c>
      <c r="AF42" s="103"/>
      <c r="AG42" s="113"/>
      <c r="AH42" s="113" t="s">
        <v>301</v>
      </c>
      <c r="AI42" s="108"/>
      <c r="AJ42" s="108" t="str">
        <f aca="false">IF(ISBLANK(AG42),"",AG42*AI42)</f>
        <v/>
      </c>
      <c r="AK42" s="103"/>
      <c r="AL42" s="113"/>
      <c r="AM42" s="113" t="s">
        <v>301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09"/>
      <c r="B43" s="112"/>
      <c r="C43" s="113"/>
      <c r="D43" s="113"/>
      <c r="E43" s="108"/>
      <c r="F43" s="108" t="str">
        <f aca="false">IF(ISBLANK(C43),"",C43*E43)</f>
        <v/>
      </c>
      <c r="G43" s="103"/>
      <c r="H43" s="113"/>
      <c r="I43" s="113"/>
      <c r="J43" s="108"/>
      <c r="K43" s="108" t="str">
        <f aca="false">IF(ISBLANK(H43),"",H43*J43)</f>
        <v/>
      </c>
      <c r="L43" s="103"/>
      <c r="M43" s="113"/>
      <c r="N43" s="113"/>
      <c r="O43" s="108"/>
      <c r="P43" s="108" t="str">
        <f aca="false">IF(ISBLANK(M43),"",M43*O43)</f>
        <v/>
      </c>
      <c r="Q43" s="103"/>
      <c r="R43" s="113"/>
      <c r="S43" s="113"/>
      <c r="T43" s="108"/>
      <c r="U43" s="108" t="str">
        <f aca="false">IF(ISBLANK(R43),"",R43*T43)</f>
        <v/>
      </c>
      <c r="V43" s="103"/>
      <c r="W43" s="113"/>
      <c r="X43" s="113"/>
      <c r="Y43" s="108"/>
      <c r="Z43" s="108" t="str">
        <f aca="false">IF(ISBLANK(W43),"",W43*Y43)</f>
        <v/>
      </c>
      <c r="AA43" s="103"/>
      <c r="AB43" s="113"/>
      <c r="AC43" s="113"/>
      <c r="AD43" s="108"/>
      <c r="AE43" s="108" t="str">
        <f aca="false">IF(ISBLANK(AB43),"",AB43*AD43)</f>
        <v/>
      </c>
      <c r="AF43" s="103"/>
      <c r="AG43" s="113"/>
      <c r="AH43" s="113"/>
      <c r="AI43" s="108"/>
      <c r="AJ43" s="108" t="str">
        <f aca="false">IF(ISBLANK(AG43),"",AG43*AI43)</f>
        <v/>
      </c>
      <c r="AK43" s="103"/>
      <c r="AL43" s="113"/>
      <c r="AM43" s="113"/>
      <c r="AN43" s="108"/>
      <c r="AO43" s="108" t="str">
        <f aca="false">IF(ISBLANK(AL43),"",AL43*AN43)</f>
        <v/>
      </c>
      <c r="AP43" s="103"/>
    </row>
    <row r="44" customFormat="false" ht="11.25" hidden="false" customHeight="true" outlineLevel="0" collapsed="false">
      <c r="A44" s="174" t="n">
        <f aca="false">IF(B44&gt;0,IF(C44&gt;0,MAX($A$5:A42)+1," ")," ")</f>
        <v>19</v>
      </c>
      <c r="B44" s="112" t="s">
        <v>318</v>
      </c>
      <c r="C44" s="113" t="n">
        <v>6</v>
      </c>
      <c r="D44" s="113" t="s">
        <v>118</v>
      </c>
      <c r="E44" s="108" t="n">
        <v>200</v>
      </c>
      <c r="F44" s="108" t="n">
        <f aca="false">IF(ISBLANK(C44),"",C44*E44)</f>
        <v>1200</v>
      </c>
      <c r="G44" s="103"/>
      <c r="H44" s="113" t="n">
        <v>6</v>
      </c>
      <c r="I44" s="113" t="s">
        <v>118</v>
      </c>
      <c r="J44" s="108" t="n">
        <v>200</v>
      </c>
      <c r="K44" s="108" t="n">
        <f aca="false">IF(ISBLANK(H44),"",H44*J44)</f>
        <v>1200</v>
      </c>
      <c r="L44" s="103"/>
      <c r="M44" s="113" t="n">
        <v>6</v>
      </c>
      <c r="N44" s="113" t="s">
        <v>118</v>
      </c>
      <c r="O44" s="108" t="n">
        <v>200</v>
      </c>
      <c r="P44" s="108" t="n">
        <f aca="false">IF(ISBLANK(M44),"",M44*O44)</f>
        <v>1200</v>
      </c>
      <c r="Q44" s="103"/>
      <c r="R44" s="113" t="n">
        <v>6</v>
      </c>
      <c r="S44" s="113" t="s">
        <v>118</v>
      </c>
      <c r="T44" s="108" t="n">
        <v>200</v>
      </c>
      <c r="U44" s="108" t="n">
        <f aca="false">IF(ISBLANK(R44),"",R44*T44)</f>
        <v>1200</v>
      </c>
      <c r="V44" s="103"/>
      <c r="W44" s="113"/>
      <c r="X44" s="113" t="s">
        <v>118</v>
      </c>
      <c r="Y44" s="108"/>
      <c r="Z44" s="108" t="str">
        <f aca="false">IF(ISBLANK(W44),"",W44*Y44)</f>
        <v/>
      </c>
      <c r="AA44" s="103"/>
      <c r="AB44" s="113"/>
      <c r="AC44" s="113" t="s">
        <v>118</v>
      </c>
      <c r="AD44" s="108"/>
      <c r="AE44" s="108" t="str">
        <f aca="false">IF(ISBLANK(AB44),"",AB44*AD44)</f>
        <v/>
      </c>
      <c r="AF44" s="103"/>
      <c r="AG44" s="113"/>
      <c r="AH44" s="113" t="s">
        <v>118</v>
      </c>
      <c r="AI44" s="108"/>
      <c r="AJ44" s="108" t="str">
        <f aca="false">IF(ISBLANK(AG44),"",AG44*AI44)</f>
        <v/>
      </c>
      <c r="AK44" s="103"/>
      <c r="AL44" s="113"/>
      <c r="AM44" s="113" t="s">
        <v>118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09"/>
      <c r="B45" s="112"/>
      <c r="C45" s="113"/>
      <c r="D45" s="113"/>
      <c r="E45" s="108"/>
      <c r="F45" s="108" t="str">
        <f aca="false">IF(ISBLANK(C45),"",C45*E45)</f>
        <v/>
      </c>
      <c r="G45" s="103"/>
      <c r="H45" s="113"/>
      <c r="I45" s="113"/>
      <c r="J45" s="108"/>
      <c r="K45" s="108" t="str">
        <f aca="false">IF(ISBLANK(H45),"",H45*J45)</f>
        <v/>
      </c>
      <c r="L45" s="103"/>
      <c r="M45" s="113"/>
      <c r="N45" s="113"/>
      <c r="O45" s="108"/>
      <c r="P45" s="108" t="str">
        <f aca="false">IF(ISBLANK(M45),"",M45*O45)</f>
        <v/>
      </c>
      <c r="Q45" s="103"/>
      <c r="R45" s="113"/>
      <c r="S45" s="113"/>
      <c r="T45" s="108"/>
      <c r="U45" s="108" t="str">
        <f aca="false">IF(ISBLANK(R45),"",R45*T45)</f>
        <v/>
      </c>
      <c r="V45" s="103"/>
      <c r="W45" s="113"/>
      <c r="X45" s="113"/>
      <c r="Y45" s="108"/>
      <c r="Z45" s="108" t="str">
        <f aca="false">IF(ISBLANK(W45),"",W45*Y45)</f>
        <v/>
      </c>
      <c r="AA45" s="103"/>
      <c r="AB45" s="113"/>
      <c r="AC45" s="113"/>
      <c r="AD45" s="108"/>
      <c r="AE45" s="108" t="str">
        <f aca="false">IF(ISBLANK(AB45),"",AB45*AD45)</f>
        <v/>
      </c>
      <c r="AF45" s="103"/>
      <c r="AG45" s="113"/>
      <c r="AH45" s="113"/>
      <c r="AI45" s="108"/>
      <c r="AJ45" s="108" t="str">
        <f aca="false">IF(ISBLANK(AG45),"",AG45*AI45)</f>
        <v/>
      </c>
      <c r="AK45" s="103"/>
      <c r="AL45" s="113"/>
      <c r="AM45" s="113"/>
      <c r="AN45" s="108"/>
      <c r="AO45" s="108" t="str">
        <f aca="false">IF(ISBLANK(AL45),"",AL45*AN45)</f>
        <v/>
      </c>
      <c r="AP45" s="103"/>
    </row>
    <row r="46" customFormat="false" ht="11.25" hidden="false" customHeight="true" outlineLevel="0" collapsed="false">
      <c r="A46" s="174" t="n">
        <f aca="false">IF(B46&gt;0,IF(C46&gt;0,MAX($A$5:A44)+1," ")," ")</f>
        <v>20</v>
      </c>
      <c r="B46" s="112" t="s">
        <v>319</v>
      </c>
      <c r="C46" s="113" t="n">
        <v>1</v>
      </c>
      <c r="D46" s="113" t="s">
        <v>209</v>
      </c>
      <c r="E46" s="108" t="n">
        <v>1000</v>
      </c>
      <c r="F46" s="108" t="n">
        <f aca="false">IF(ISBLANK(C46),"",C46*E46)</f>
        <v>1000</v>
      </c>
      <c r="G46" s="103"/>
      <c r="H46" s="113" t="n">
        <v>1</v>
      </c>
      <c r="I46" s="113" t="s">
        <v>209</v>
      </c>
      <c r="J46" s="108" t="n">
        <v>1000</v>
      </c>
      <c r="K46" s="108" t="n">
        <f aca="false">IF(ISBLANK(H46),"",H46*J46)</f>
        <v>1000</v>
      </c>
      <c r="L46" s="103"/>
      <c r="M46" s="113" t="n">
        <v>1</v>
      </c>
      <c r="N46" s="113" t="s">
        <v>209</v>
      </c>
      <c r="O46" s="108" t="n">
        <v>1000</v>
      </c>
      <c r="P46" s="108" t="n">
        <f aca="false">IF(ISBLANK(M46),"",M46*O46)</f>
        <v>1000</v>
      </c>
      <c r="Q46" s="103"/>
      <c r="R46" s="113" t="n">
        <v>1</v>
      </c>
      <c r="S46" s="113" t="s">
        <v>209</v>
      </c>
      <c r="T46" s="108" t="n">
        <v>1000</v>
      </c>
      <c r="U46" s="108" t="n">
        <f aca="false">IF(ISBLANK(R46),"",R46*T46)</f>
        <v>1000</v>
      </c>
      <c r="V46" s="103"/>
      <c r="W46" s="113"/>
      <c r="X46" s="113" t="s">
        <v>209</v>
      </c>
      <c r="Y46" s="108"/>
      <c r="Z46" s="108" t="str">
        <f aca="false">IF(ISBLANK(W46),"",W46*Y46)</f>
        <v/>
      </c>
      <c r="AA46" s="103"/>
      <c r="AB46" s="113"/>
      <c r="AC46" s="113" t="s">
        <v>209</v>
      </c>
      <c r="AD46" s="108"/>
      <c r="AE46" s="108" t="str">
        <f aca="false">IF(ISBLANK(AB46),"",AB46*AD46)</f>
        <v/>
      </c>
      <c r="AF46" s="103"/>
      <c r="AG46" s="113"/>
      <c r="AH46" s="113" t="s">
        <v>209</v>
      </c>
      <c r="AI46" s="108"/>
      <c r="AJ46" s="108" t="str">
        <f aca="false">IF(ISBLANK(AG46),"",AG46*AI46)</f>
        <v/>
      </c>
      <c r="AK46" s="103"/>
      <c r="AL46" s="113"/>
      <c r="AM46" s="113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74" t="str">
        <f aca="false">IF(B47&gt;0,IF(C47&gt;0,MAX($A$5:A46)+1," ")," ")</f>
        <v> </v>
      </c>
      <c r="B47" s="114"/>
      <c r="C47" s="115"/>
      <c r="D47" s="36"/>
      <c r="E47" s="108"/>
      <c r="F47" s="108" t="str">
        <f aca="false">IF(ISBLANK(C47),"",C47*E47)</f>
        <v/>
      </c>
      <c r="G47" s="103"/>
      <c r="H47" s="115"/>
      <c r="I47" s="36"/>
      <c r="J47" s="108"/>
      <c r="K47" s="108" t="str">
        <f aca="false">IF(ISBLANK(H47),"",H47*J47)</f>
        <v/>
      </c>
      <c r="L47" s="103"/>
      <c r="M47" s="115"/>
      <c r="N47" s="36"/>
      <c r="O47" s="108"/>
      <c r="P47" s="108" t="str">
        <f aca="false">IF(ISBLANK(M47),"",M47*O47)</f>
        <v/>
      </c>
      <c r="Q47" s="103"/>
      <c r="R47" s="115"/>
      <c r="S47" s="36"/>
      <c r="T47" s="108"/>
      <c r="U47" s="108" t="str">
        <f aca="false">IF(ISBLANK(R47),"",R47*T47)</f>
        <v/>
      </c>
      <c r="V47" s="103"/>
      <c r="W47" s="115"/>
      <c r="X47" s="36"/>
      <c r="Y47" s="108"/>
      <c r="Z47" s="108" t="str">
        <f aca="false">IF(ISBLANK(W47),"",W47*Y47)</f>
        <v/>
      </c>
      <c r="AA47" s="103"/>
      <c r="AB47" s="115"/>
      <c r="AC47" s="36"/>
      <c r="AD47" s="108"/>
      <c r="AE47" s="108" t="str">
        <f aca="false">IF(ISBLANK(AB47),"",AB47*AD47)</f>
        <v/>
      </c>
      <c r="AF47" s="103"/>
      <c r="AG47" s="115"/>
      <c r="AH47" s="36"/>
      <c r="AI47" s="108"/>
      <c r="AJ47" s="108" t="str">
        <f aca="false">IF(ISBLANK(AG47),"",AG47*AI47)</f>
        <v/>
      </c>
      <c r="AK47" s="103"/>
      <c r="AL47" s="115"/>
      <c r="AM47" s="36"/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IF(B53&gt;0,IF(C53&gt;0,MAX($A$3:A47)+1,"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360235</v>
      </c>
      <c r="G54" s="103"/>
      <c r="H54" s="98"/>
      <c r="I54" s="98"/>
      <c r="J54" s="117" t="s">
        <v>177</v>
      </c>
      <c r="K54" s="117" t="n">
        <f aca="false">SUM(K5:K53)</f>
        <v>360235</v>
      </c>
      <c r="L54" s="103"/>
      <c r="M54" s="98"/>
      <c r="N54" s="98"/>
      <c r="O54" s="117" t="s">
        <v>177</v>
      </c>
      <c r="P54" s="117" t="n">
        <f aca="false">SUM(P5:P53)</f>
        <v>360235</v>
      </c>
      <c r="Q54" s="103"/>
      <c r="R54" s="98"/>
      <c r="S54" s="98"/>
      <c r="T54" s="117" t="s">
        <v>177</v>
      </c>
      <c r="U54" s="117" t="n">
        <f aca="false">SUM(U5:U53)</f>
        <v>360235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2.3 Roof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IF(B6&gt;0,IF(C6&gt;0,MAX($A$5:A5)+1," ")," ")</f>
        <v> </v>
      </c>
      <c r="B6" s="112" t="s">
        <v>320</v>
      </c>
      <c r="C6" s="113"/>
      <c r="D6" s="36"/>
      <c r="E6" s="108"/>
      <c r="F6" s="108"/>
      <c r="G6" s="103"/>
      <c r="H6" s="113"/>
      <c r="I6" s="36"/>
      <c r="J6" s="108"/>
      <c r="K6" s="108"/>
      <c r="L6" s="103"/>
      <c r="M6" s="113"/>
      <c r="N6" s="36"/>
      <c r="O6" s="108"/>
      <c r="P6" s="108"/>
      <c r="Q6" s="103"/>
      <c r="R6" s="113"/>
      <c r="S6" s="36"/>
      <c r="T6" s="108"/>
      <c r="U6" s="108"/>
      <c r="V6" s="103"/>
      <c r="W6" s="113"/>
      <c r="X6" s="36"/>
      <c r="Y6" s="108"/>
      <c r="Z6" s="108"/>
      <c r="AA6" s="103"/>
      <c r="AB6" s="113"/>
      <c r="AC6" s="36"/>
      <c r="AD6" s="108"/>
      <c r="AE6" s="108"/>
      <c r="AF6" s="103"/>
      <c r="AG6" s="113"/>
      <c r="AH6" s="36"/>
      <c r="AI6" s="108"/>
      <c r="AJ6" s="108"/>
      <c r="AK6" s="103"/>
      <c r="AL6" s="113"/>
      <c r="AM6" s="36"/>
      <c r="AN6" s="108"/>
      <c r="AO6" s="108"/>
      <c r="AP6" s="103"/>
    </row>
    <row r="7" customFormat="false" ht="11.25" hidden="false" customHeight="true" outlineLevel="0" collapsed="false">
      <c r="A7" s="109"/>
      <c r="B7" s="112"/>
      <c r="C7" s="113"/>
      <c r="D7" s="36"/>
      <c r="E7" s="108"/>
      <c r="F7" s="108"/>
      <c r="G7" s="103"/>
      <c r="H7" s="113"/>
      <c r="I7" s="36"/>
      <c r="J7" s="108"/>
      <c r="K7" s="108"/>
      <c r="L7" s="103"/>
      <c r="M7" s="113"/>
      <c r="N7" s="36"/>
      <c r="O7" s="108"/>
      <c r="P7" s="108"/>
      <c r="Q7" s="103"/>
      <c r="R7" s="113"/>
      <c r="S7" s="36"/>
      <c r="T7" s="108"/>
      <c r="U7" s="108"/>
      <c r="V7" s="103"/>
      <c r="W7" s="113"/>
      <c r="X7" s="36"/>
      <c r="Y7" s="108"/>
      <c r="Z7" s="108"/>
      <c r="AA7" s="103"/>
      <c r="AB7" s="113"/>
      <c r="AC7" s="36"/>
      <c r="AD7" s="108"/>
      <c r="AE7" s="108"/>
      <c r="AF7" s="103"/>
      <c r="AG7" s="113"/>
      <c r="AH7" s="36"/>
      <c r="AI7" s="108"/>
      <c r="AJ7" s="108"/>
      <c r="AK7" s="103"/>
      <c r="AL7" s="113"/>
      <c r="AM7" s="36"/>
      <c r="AN7" s="108"/>
      <c r="AO7" s="108"/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112" t="s">
        <v>321</v>
      </c>
      <c r="C8" s="113" t="n">
        <v>250</v>
      </c>
      <c r="D8" s="36" t="s">
        <v>116</v>
      </c>
      <c r="E8" s="108" t="n">
        <v>10</v>
      </c>
      <c r="F8" s="108" t="n">
        <f aca="false">IF(ISBLANK(C8),"",C8*E8)</f>
        <v>2500</v>
      </c>
      <c r="G8" s="103"/>
      <c r="H8" s="113" t="n">
        <v>250</v>
      </c>
      <c r="I8" s="36" t="s">
        <v>116</v>
      </c>
      <c r="J8" s="108" t="n">
        <v>10</v>
      </c>
      <c r="K8" s="108" t="n">
        <f aca="false">IF(ISBLANK(H8),"",H8*J8)</f>
        <v>2500</v>
      </c>
      <c r="L8" s="103"/>
      <c r="M8" s="113" t="n">
        <v>250</v>
      </c>
      <c r="N8" s="36" t="s">
        <v>116</v>
      </c>
      <c r="O8" s="108" t="n">
        <v>10</v>
      </c>
      <c r="P8" s="108" t="n">
        <f aca="false">IF(ISBLANK(M8),"",M8*O8)</f>
        <v>2500</v>
      </c>
      <c r="Q8" s="103"/>
      <c r="R8" s="113" t="n">
        <v>250</v>
      </c>
      <c r="S8" s="36" t="s">
        <v>116</v>
      </c>
      <c r="T8" s="108" t="n">
        <v>10</v>
      </c>
      <c r="U8" s="108" t="n">
        <f aca="false">IF(ISBLANK(R8),"",R8*T8)</f>
        <v>2500</v>
      </c>
      <c r="V8" s="103"/>
      <c r="W8" s="113"/>
      <c r="X8" s="36" t="s">
        <v>116</v>
      </c>
      <c r="Y8" s="108" t="str">
        <f aca="false">IF(ISBLANK(V8),"",V8*X8)</f>
        <v/>
      </c>
      <c r="Z8" s="108"/>
      <c r="AA8" s="103"/>
      <c r="AB8" s="113"/>
      <c r="AC8" s="36" t="s">
        <v>116</v>
      </c>
      <c r="AD8" s="108" t="str">
        <f aca="false">IF(ISBLANK(AA8),"",AA8*AC8)</f>
        <v/>
      </c>
      <c r="AE8" s="108"/>
      <c r="AF8" s="103"/>
      <c r="AG8" s="113"/>
      <c r="AH8" s="36" t="s">
        <v>116</v>
      </c>
      <c r="AI8" s="108" t="str">
        <f aca="false">IF(ISBLANK(AF8),"",AF8*AH8)</f>
        <v/>
      </c>
      <c r="AJ8" s="108"/>
      <c r="AK8" s="103"/>
      <c r="AL8" s="113"/>
      <c r="AM8" s="36" t="s">
        <v>116</v>
      </c>
      <c r="AN8" s="108" t="str">
        <f aca="false">IF(ISBLANK(AK8),"",AK8*AM8)</f>
        <v/>
      </c>
      <c r="AO8" s="108"/>
      <c r="AP8" s="103"/>
    </row>
    <row r="9" customFormat="false" ht="11.25" hidden="false" customHeight="true" outlineLevel="0" collapsed="false">
      <c r="A9" s="109"/>
      <c r="B9" s="112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 t="str">
        <f aca="false">IF(ISBLANK(V9),"",V9*X9)</f>
        <v/>
      </c>
      <c r="Z9" s="108"/>
      <c r="AA9" s="103"/>
      <c r="AB9" s="113"/>
      <c r="AC9" s="36"/>
      <c r="AD9" s="108" t="str">
        <f aca="false">IF(ISBLANK(AA9),"",AA9*AC9)</f>
        <v/>
      </c>
      <c r="AE9" s="108"/>
      <c r="AF9" s="103"/>
      <c r="AG9" s="113"/>
      <c r="AH9" s="36"/>
      <c r="AI9" s="108" t="str">
        <f aca="false">IF(ISBLANK(AF9),"",AF9*AH9)</f>
        <v/>
      </c>
      <c r="AJ9" s="108"/>
      <c r="AK9" s="103"/>
      <c r="AL9" s="113"/>
      <c r="AM9" s="36"/>
      <c r="AN9" s="108" t="str">
        <f aca="false">IF(ISBLANK(AK9),"",AK9*AM9)</f>
        <v/>
      </c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112" t="s">
        <v>322</v>
      </c>
      <c r="C10" s="113" t="n">
        <v>250</v>
      </c>
      <c r="D10" s="36" t="s">
        <v>116</v>
      </c>
      <c r="E10" s="108" t="n">
        <v>10</v>
      </c>
      <c r="F10" s="108" t="n">
        <f aca="false">IF(ISBLANK(C10),"",C10*E10)</f>
        <v>2500</v>
      </c>
      <c r="G10" s="103"/>
      <c r="H10" s="113" t="n">
        <v>250</v>
      </c>
      <c r="I10" s="36" t="s">
        <v>116</v>
      </c>
      <c r="J10" s="108" t="n">
        <v>10</v>
      </c>
      <c r="K10" s="108" t="n">
        <f aca="false">IF(ISBLANK(H10),"",H10*J10)</f>
        <v>2500</v>
      </c>
      <c r="L10" s="103"/>
      <c r="M10" s="113" t="n">
        <v>250</v>
      </c>
      <c r="N10" s="36" t="s">
        <v>116</v>
      </c>
      <c r="O10" s="108" t="n">
        <v>10</v>
      </c>
      <c r="P10" s="108" t="n">
        <f aca="false">IF(ISBLANK(M10),"",M10*O10)</f>
        <v>2500</v>
      </c>
      <c r="Q10" s="103"/>
      <c r="R10" s="113" t="n">
        <v>250</v>
      </c>
      <c r="S10" s="36" t="s">
        <v>116</v>
      </c>
      <c r="T10" s="108" t="n">
        <v>10</v>
      </c>
      <c r="U10" s="108" t="n">
        <f aca="false">IF(ISBLANK(R10),"",R10*T10)</f>
        <v>2500</v>
      </c>
      <c r="V10" s="103"/>
      <c r="W10" s="113"/>
      <c r="X10" s="36" t="s">
        <v>116</v>
      </c>
      <c r="Y10" s="108" t="str">
        <f aca="false">IF(ISBLANK(V10),"",V10*X10)</f>
        <v/>
      </c>
      <c r="Z10" s="108"/>
      <c r="AA10" s="103"/>
      <c r="AB10" s="113"/>
      <c r="AC10" s="36" t="s">
        <v>116</v>
      </c>
      <c r="AD10" s="108" t="str">
        <f aca="false">IF(ISBLANK(AA10),"",AA10*AC10)</f>
        <v/>
      </c>
      <c r="AE10" s="108"/>
      <c r="AF10" s="103"/>
      <c r="AG10" s="113"/>
      <c r="AH10" s="36" t="s">
        <v>116</v>
      </c>
      <c r="AI10" s="108" t="str">
        <f aca="false">IF(ISBLANK(AF10),"",AF10*AH10)</f>
        <v/>
      </c>
      <c r="AJ10" s="108"/>
      <c r="AK10" s="103"/>
      <c r="AL10" s="113"/>
      <c r="AM10" s="36" t="s">
        <v>116</v>
      </c>
      <c r="AN10" s="108" t="str">
        <f aca="false">IF(ISBLANK(AK10),"",AK10*AM10)</f>
        <v/>
      </c>
      <c r="AO10" s="108"/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112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 t="str">
        <f aca="false">IF(ISBLANK(V11),"",V11*X11)</f>
        <v/>
      </c>
      <c r="Z11" s="108"/>
      <c r="AA11" s="103"/>
      <c r="AB11" s="113"/>
      <c r="AC11" s="36"/>
      <c r="AD11" s="108" t="str">
        <f aca="false">IF(ISBLANK(AA11),"",AA11*AC11)</f>
        <v/>
      </c>
      <c r="AE11" s="108"/>
      <c r="AF11" s="103"/>
      <c r="AG11" s="113"/>
      <c r="AH11" s="36"/>
      <c r="AI11" s="108" t="str">
        <f aca="false">IF(ISBLANK(AF11),"",AF11*AH11)</f>
        <v/>
      </c>
      <c r="AJ11" s="108"/>
      <c r="AK11" s="103"/>
      <c r="AL11" s="113"/>
      <c r="AM11" s="36"/>
      <c r="AN11" s="108" t="str">
        <f aca="false">IF(ISBLANK(AK11),"",AK11*AM11)</f>
        <v/>
      </c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112" t="s">
        <v>323</v>
      </c>
      <c r="C12" s="113" t="n">
        <v>250</v>
      </c>
      <c r="D12" s="36" t="s">
        <v>116</v>
      </c>
      <c r="E12" s="108" t="n">
        <v>10</v>
      </c>
      <c r="F12" s="108" t="n">
        <f aca="false">IF(ISBLANK(C12),"",C12*E12)</f>
        <v>2500</v>
      </c>
      <c r="G12" s="103"/>
      <c r="H12" s="113" t="n">
        <v>250</v>
      </c>
      <c r="I12" s="36" t="s">
        <v>116</v>
      </c>
      <c r="J12" s="108" t="n">
        <v>10</v>
      </c>
      <c r="K12" s="108" t="n">
        <f aca="false">IF(ISBLANK(H12),"",H12*J12)</f>
        <v>2500</v>
      </c>
      <c r="L12" s="103"/>
      <c r="M12" s="113" t="n">
        <v>250</v>
      </c>
      <c r="N12" s="36" t="s">
        <v>116</v>
      </c>
      <c r="O12" s="108" t="n">
        <v>10</v>
      </c>
      <c r="P12" s="108" t="n">
        <f aca="false">IF(ISBLANK(M12),"",M12*O12)</f>
        <v>2500</v>
      </c>
      <c r="Q12" s="103"/>
      <c r="R12" s="113" t="n">
        <v>250</v>
      </c>
      <c r="S12" s="36" t="s">
        <v>116</v>
      </c>
      <c r="T12" s="108" t="n">
        <v>10</v>
      </c>
      <c r="U12" s="108" t="n">
        <f aca="false">IF(ISBLANK(R12),"",R12*T12)</f>
        <v>2500</v>
      </c>
      <c r="V12" s="103"/>
      <c r="W12" s="113"/>
      <c r="X12" s="36" t="s">
        <v>116</v>
      </c>
      <c r="Y12" s="108" t="str">
        <f aca="false">IF(ISBLANK(V12),"",V12*X12)</f>
        <v/>
      </c>
      <c r="Z12" s="108"/>
      <c r="AA12" s="103"/>
      <c r="AB12" s="113"/>
      <c r="AC12" s="36" t="s">
        <v>116</v>
      </c>
      <c r="AD12" s="108" t="str">
        <f aca="false">IF(ISBLANK(AA12),"",AA12*AC12)</f>
        <v/>
      </c>
      <c r="AE12" s="108"/>
      <c r="AF12" s="103"/>
      <c r="AG12" s="113"/>
      <c r="AH12" s="36" t="s">
        <v>116</v>
      </c>
      <c r="AI12" s="108" t="str">
        <f aca="false">IF(ISBLANK(AF12),"",AF12*AH12)</f>
        <v/>
      </c>
      <c r="AJ12" s="108"/>
      <c r="AK12" s="103"/>
      <c r="AL12" s="113"/>
      <c r="AM12" s="36" t="s">
        <v>116</v>
      </c>
      <c r="AN12" s="108" t="str">
        <f aca="false">IF(ISBLANK(AK12),"",AK12*AM12)</f>
        <v/>
      </c>
      <c r="AO12" s="108"/>
      <c r="AP12" s="103"/>
    </row>
    <row r="13" customFormat="false" ht="11.25" hidden="false" customHeight="true" outlineLevel="0" collapsed="false">
      <c r="A13" s="109"/>
      <c r="B13" s="112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 t="str">
        <f aca="false">IF(ISBLANK(V13),"",V13*X13)</f>
        <v/>
      </c>
      <c r="Z13" s="108"/>
      <c r="AA13" s="103"/>
      <c r="AB13" s="113"/>
      <c r="AC13" s="36"/>
      <c r="AD13" s="108" t="str">
        <f aca="false">IF(ISBLANK(AA13),"",AA13*AC13)</f>
        <v/>
      </c>
      <c r="AE13" s="108"/>
      <c r="AF13" s="103"/>
      <c r="AG13" s="113"/>
      <c r="AH13" s="36"/>
      <c r="AI13" s="108" t="str">
        <f aca="false">IF(ISBLANK(AF13),"",AF13*AH13)</f>
        <v/>
      </c>
      <c r="AJ13" s="108"/>
      <c r="AK13" s="103"/>
      <c r="AL13" s="113"/>
      <c r="AM13" s="36"/>
      <c r="AN13" s="108" t="str">
        <f aca="false">IF(ISBLANK(AK13),"",AK13*AM13)</f>
        <v/>
      </c>
      <c r="AO13" s="108"/>
      <c r="AP13" s="103"/>
    </row>
    <row r="14" customFormat="false" ht="11.25" hidden="false" customHeight="true" outlineLevel="0" collapsed="false">
      <c r="A14" s="174" t="n">
        <f aca="false">IF(B14&gt;0,IF(C14&gt;0,MAX($A$5:A12)+1," ")," ")</f>
        <v>4</v>
      </c>
      <c r="B14" s="112" t="s">
        <v>324</v>
      </c>
      <c r="C14" s="113" t="n">
        <v>250</v>
      </c>
      <c r="D14" s="36" t="s">
        <v>209</v>
      </c>
      <c r="E14" s="108" t="n">
        <v>10</v>
      </c>
      <c r="F14" s="108" t="n">
        <f aca="false">IF(ISBLANK(C14),"",C14*E14)</f>
        <v>2500</v>
      </c>
      <c r="G14" s="103"/>
      <c r="H14" s="113" t="n">
        <v>250</v>
      </c>
      <c r="I14" s="36" t="s">
        <v>209</v>
      </c>
      <c r="J14" s="108" t="n">
        <v>10</v>
      </c>
      <c r="K14" s="108" t="n">
        <f aca="false">IF(ISBLANK(H14),"",H14*J14)</f>
        <v>2500</v>
      </c>
      <c r="L14" s="103"/>
      <c r="M14" s="113" t="n">
        <v>250</v>
      </c>
      <c r="N14" s="36" t="s">
        <v>209</v>
      </c>
      <c r="O14" s="108" t="n">
        <v>10</v>
      </c>
      <c r="P14" s="108" t="n">
        <f aca="false">IF(ISBLANK(M14),"",M14*O14)</f>
        <v>2500</v>
      </c>
      <c r="Q14" s="103"/>
      <c r="R14" s="113" t="n">
        <v>250</v>
      </c>
      <c r="S14" s="36" t="s">
        <v>209</v>
      </c>
      <c r="T14" s="108" t="n">
        <v>10</v>
      </c>
      <c r="U14" s="108" t="n">
        <f aca="false">IF(ISBLANK(R14),"",R14*T14)</f>
        <v>2500</v>
      </c>
      <c r="V14" s="103"/>
      <c r="W14" s="113"/>
      <c r="X14" s="36" t="s">
        <v>209</v>
      </c>
      <c r="Y14" s="108" t="str">
        <f aca="false">IF(ISBLANK(V14),"",V14*X14)</f>
        <v/>
      </c>
      <c r="Z14" s="108"/>
      <c r="AA14" s="103"/>
      <c r="AB14" s="113"/>
      <c r="AC14" s="36" t="s">
        <v>209</v>
      </c>
      <c r="AD14" s="108" t="str">
        <f aca="false">IF(ISBLANK(AA14),"",AA14*AC14)</f>
        <v/>
      </c>
      <c r="AE14" s="108"/>
      <c r="AF14" s="103"/>
      <c r="AG14" s="113"/>
      <c r="AH14" s="36" t="s">
        <v>209</v>
      </c>
      <c r="AI14" s="108" t="str">
        <f aca="false">IF(ISBLANK(AF14),"",AF14*AH14)</f>
        <v/>
      </c>
      <c r="AJ14" s="108"/>
      <c r="AK14" s="103"/>
      <c r="AL14" s="113"/>
      <c r="AM14" s="36" t="s">
        <v>209</v>
      </c>
      <c r="AN14" s="108" t="str">
        <f aca="false">IF(ISBLANK(AK14),"",AK14*AM14)</f>
        <v/>
      </c>
      <c r="AO14" s="108"/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112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/>
      <c r="Y15" s="108" t="str">
        <f aca="false">IF(ISBLANK(V15),"",V15*X15)</f>
        <v/>
      </c>
      <c r="Z15" s="108"/>
      <c r="AA15" s="103"/>
      <c r="AB15" s="113"/>
      <c r="AC15" s="36"/>
      <c r="AD15" s="108" t="str">
        <f aca="false">IF(ISBLANK(AA15),"",AA15*AC15)</f>
        <v/>
      </c>
      <c r="AE15" s="108"/>
      <c r="AF15" s="103"/>
      <c r="AG15" s="113"/>
      <c r="AH15" s="36"/>
      <c r="AI15" s="108" t="str">
        <f aca="false">IF(ISBLANK(AF15),"",AF15*AH15)</f>
        <v/>
      </c>
      <c r="AJ15" s="108"/>
      <c r="AK15" s="103"/>
      <c r="AL15" s="113"/>
      <c r="AM15" s="36"/>
      <c r="AN15" s="108" t="str">
        <f aca="false">IF(ISBLANK(AK15),"",AK15*AM15)</f>
        <v/>
      </c>
      <c r="AO15" s="108"/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112" t="s">
        <v>325</v>
      </c>
      <c r="C16" s="113" t="n">
        <v>250</v>
      </c>
      <c r="D16" s="36" t="s">
        <v>116</v>
      </c>
      <c r="E16" s="108" t="n">
        <v>10</v>
      </c>
      <c r="F16" s="108" t="n">
        <f aca="false">IF(ISBLANK(C16),"",C16*E16)</f>
        <v>2500</v>
      </c>
      <c r="G16" s="103"/>
      <c r="H16" s="113" t="n">
        <v>250</v>
      </c>
      <c r="I16" s="36" t="s">
        <v>116</v>
      </c>
      <c r="J16" s="108" t="n">
        <v>10</v>
      </c>
      <c r="K16" s="108" t="n">
        <f aca="false">IF(ISBLANK(H16),"",H16*J16)</f>
        <v>2500</v>
      </c>
      <c r="L16" s="103"/>
      <c r="M16" s="113" t="n">
        <v>250</v>
      </c>
      <c r="N16" s="36" t="s">
        <v>116</v>
      </c>
      <c r="O16" s="108" t="n">
        <v>10</v>
      </c>
      <c r="P16" s="108" t="n">
        <f aca="false">IF(ISBLANK(M16),"",M16*O16)</f>
        <v>2500</v>
      </c>
      <c r="Q16" s="103"/>
      <c r="R16" s="113" t="n">
        <v>250</v>
      </c>
      <c r="S16" s="36" t="s">
        <v>116</v>
      </c>
      <c r="T16" s="108" t="n">
        <v>10</v>
      </c>
      <c r="U16" s="108" t="n">
        <f aca="false">IF(ISBLANK(R16),"",R16*T16)</f>
        <v>2500</v>
      </c>
      <c r="V16" s="103"/>
      <c r="W16" s="113"/>
      <c r="X16" s="36" t="s">
        <v>116</v>
      </c>
      <c r="Y16" s="108" t="str">
        <f aca="false">IF(ISBLANK(V16),"",V16*X16)</f>
        <v/>
      </c>
      <c r="Z16" s="108"/>
      <c r="AA16" s="103"/>
      <c r="AB16" s="113"/>
      <c r="AC16" s="36" t="s">
        <v>116</v>
      </c>
      <c r="AD16" s="108" t="str">
        <f aca="false">IF(ISBLANK(AA16),"",AA16*AC16)</f>
        <v/>
      </c>
      <c r="AE16" s="108"/>
      <c r="AF16" s="103"/>
      <c r="AG16" s="113"/>
      <c r="AH16" s="36" t="s">
        <v>116</v>
      </c>
      <c r="AI16" s="108" t="str">
        <f aca="false">IF(ISBLANK(AF16),"",AF16*AH16)</f>
        <v/>
      </c>
      <c r="AJ16" s="108"/>
      <c r="AK16" s="103"/>
      <c r="AL16" s="113"/>
      <c r="AM16" s="36" t="s">
        <v>116</v>
      </c>
      <c r="AN16" s="108" t="str">
        <f aca="false">IF(ISBLANK(AK16),"",AK16*AM16)</f>
        <v/>
      </c>
      <c r="AO16" s="108"/>
      <c r="AP16" s="103"/>
    </row>
    <row r="17" customFormat="false" ht="11.25" hidden="false" customHeight="true" outlineLevel="0" collapsed="false">
      <c r="A17" s="109"/>
      <c r="B17" s="112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 t="str">
        <f aca="false">IF(ISBLANK(V17),"",V17*X17)</f>
        <v/>
      </c>
      <c r="Z17" s="108"/>
      <c r="AA17" s="103"/>
      <c r="AB17" s="113"/>
      <c r="AC17" s="36"/>
      <c r="AD17" s="108" t="str">
        <f aca="false">IF(ISBLANK(AA17),"",AA17*AC17)</f>
        <v/>
      </c>
      <c r="AE17" s="108"/>
      <c r="AF17" s="103"/>
      <c r="AG17" s="113"/>
      <c r="AH17" s="36"/>
      <c r="AI17" s="108" t="str">
        <f aca="false">IF(ISBLANK(AF17),"",AF17*AH17)</f>
        <v/>
      </c>
      <c r="AJ17" s="108"/>
      <c r="AK17" s="103"/>
      <c r="AL17" s="113"/>
      <c r="AM17" s="36"/>
      <c r="AN17" s="108" t="str">
        <f aca="false">IF(ISBLANK(AK17),"",AK17*AM17)</f>
        <v/>
      </c>
      <c r="AO17" s="108"/>
      <c r="AP17" s="103"/>
    </row>
    <row r="18" customFormat="false" ht="11.25" hidden="false" customHeight="true" outlineLevel="0" collapsed="false">
      <c r="A18" s="174" t="n">
        <f aca="false">IF(B18&gt;0,IF(C18&gt;0,MAX($A$5:A16)+1," ")," ")</f>
        <v>6</v>
      </c>
      <c r="B18" s="112" t="s">
        <v>326</v>
      </c>
      <c r="C18" s="113" t="n">
        <v>250</v>
      </c>
      <c r="D18" s="36" t="s">
        <v>116</v>
      </c>
      <c r="E18" s="108" t="n">
        <v>10</v>
      </c>
      <c r="F18" s="108" t="n">
        <f aca="false">IF(ISBLANK(C18),"",C18*E18)</f>
        <v>2500</v>
      </c>
      <c r="G18" s="103"/>
      <c r="H18" s="113" t="n">
        <v>250</v>
      </c>
      <c r="I18" s="36" t="s">
        <v>116</v>
      </c>
      <c r="J18" s="108" t="n">
        <v>10</v>
      </c>
      <c r="K18" s="108" t="n">
        <f aca="false">IF(ISBLANK(H18),"",H18*J18)</f>
        <v>2500</v>
      </c>
      <c r="L18" s="103"/>
      <c r="M18" s="113" t="n">
        <v>250</v>
      </c>
      <c r="N18" s="36" t="s">
        <v>116</v>
      </c>
      <c r="O18" s="108" t="n">
        <v>10</v>
      </c>
      <c r="P18" s="108" t="n">
        <f aca="false">IF(ISBLANK(M18),"",M18*O18)</f>
        <v>2500</v>
      </c>
      <c r="Q18" s="103"/>
      <c r="R18" s="113" t="n">
        <v>250</v>
      </c>
      <c r="S18" s="36" t="s">
        <v>116</v>
      </c>
      <c r="T18" s="108" t="n">
        <v>10</v>
      </c>
      <c r="U18" s="108" t="n">
        <f aca="false">IF(ISBLANK(R18),"",R18*T18)</f>
        <v>2500</v>
      </c>
      <c r="V18" s="103"/>
      <c r="W18" s="113"/>
      <c r="X18" s="36" t="s">
        <v>116</v>
      </c>
      <c r="Y18" s="108" t="str">
        <f aca="false">IF(ISBLANK(V18),"",V18*X18)</f>
        <v/>
      </c>
      <c r="Z18" s="108"/>
      <c r="AA18" s="103"/>
      <c r="AB18" s="113"/>
      <c r="AC18" s="36" t="s">
        <v>116</v>
      </c>
      <c r="AD18" s="108" t="str">
        <f aca="false">IF(ISBLANK(AA18),"",AA18*AC18)</f>
        <v/>
      </c>
      <c r="AE18" s="108"/>
      <c r="AF18" s="103"/>
      <c r="AG18" s="113"/>
      <c r="AH18" s="36" t="s">
        <v>116</v>
      </c>
      <c r="AI18" s="108" t="str">
        <f aca="false">IF(ISBLANK(AF18),"",AF18*AH18)</f>
        <v/>
      </c>
      <c r="AJ18" s="108"/>
      <c r="AK18" s="103"/>
      <c r="AL18" s="113"/>
      <c r="AM18" s="36" t="s">
        <v>116</v>
      </c>
      <c r="AN18" s="108" t="str">
        <f aca="false">IF(ISBLANK(AK18),"",AK18*AM18)</f>
        <v/>
      </c>
      <c r="AO18" s="108"/>
      <c r="AP18" s="103"/>
    </row>
    <row r="19" customFormat="false" ht="11.25" hidden="false" customHeight="true" outlineLevel="0" collapsed="false">
      <c r="A19" s="109"/>
      <c r="B19" s="112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 t="str">
        <f aca="false">IF(ISBLANK(V19),"",V19*X19)</f>
        <v/>
      </c>
      <c r="Z19" s="108"/>
      <c r="AA19" s="103"/>
      <c r="AB19" s="113"/>
      <c r="AC19" s="36"/>
      <c r="AD19" s="108" t="str">
        <f aca="false">IF(ISBLANK(AA19),"",AA19*AC19)</f>
        <v/>
      </c>
      <c r="AE19" s="108"/>
      <c r="AF19" s="103"/>
      <c r="AG19" s="113"/>
      <c r="AH19" s="36"/>
      <c r="AI19" s="108" t="str">
        <f aca="false">IF(ISBLANK(AF19),"",AF19*AH19)</f>
        <v/>
      </c>
      <c r="AJ19" s="108"/>
      <c r="AK19" s="103"/>
      <c r="AL19" s="113"/>
      <c r="AM19" s="36"/>
      <c r="AN19" s="108" t="str">
        <f aca="false">IF(ISBLANK(AK19),"",AK19*AM19)</f>
        <v/>
      </c>
      <c r="AO19" s="108"/>
      <c r="AP19" s="103"/>
    </row>
    <row r="20" customFormat="false" ht="11.25" hidden="false" customHeight="true" outlineLevel="0" collapsed="false">
      <c r="A20" s="174" t="n">
        <f aca="false">IF(B20&gt;0,IF(C20&gt;0,MAX($A$5:A18)+1," ")," ")</f>
        <v>7</v>
      </c>
      <c r="B20" s="112" t="s">
        <v>327</v>
      </c>
      <c r="C20" s="113" t="n">
        <v>250</v>
      </c>
      <c r="D20" s="36" t="s">
        <v>116</v>
      </c>
      <c r="E20" s="108" t="n">
        <v>10</v>
      </c>
      <c r="F20" s="108" t="n">
        <f aca="false">IF(ISBLANK(C20),"",C20*E20)</f>
        <v>2500</v>
      </c>
      <c r="G20" s="103"/>
      <c r="H20" s="113" t="n">
        <v>250</v>
      </c>
      <c r="I20" s="36" t="s">
        <v>116</v>
      </c>
      <c r="J20" s="108" t="n">
        <v>10</v>
      </c>
      <c r="K20" s="108" t="n">
        <f aca="false">IF(ISBLANK(H20),"",H20*J20)</f>
        <v>2500</v>
      </c>
      <c r="L20" s="103"/>
      <c r="M20" s="113" t="n">
        <v>250</v>
      </c>
      <c r="N20" s="36" t="s">
        <v>116</v>
      </c>
      <c r="O20" s="108" t="n">
        <v>10</v>
      </c>
      <c r="P20" s="108" t="n">
        <f aca="false">IF(ISBLANK(M20),"",M20*O20)</f>
        <v>2500</v>
      </c>
      <c r="Q20" s="103"/>
      <c r="R20" s="113" t="n">
        <v>250</v>
      </c>
      <c r="S20" s="36" t="s">
        <v>116</v>
      </c>
      <c r="T20" s="108" t="n">
        <v>10</v>
      </c>
      <c r="U20" s="108" t="n">
        <f aca="false">IF(ISBLANK(R20),"",R20*T20)</f>
        <v>2500</v>
      </c>
      <c r="V20" s="103"/>
      <c r="W20" s="113"/>
      <c r="X20" s="36" t="s">
        <v>116</v>
      </c>
      <c r="Y20" s="108" t="str">
        <f aca="false">IF(ISBLANK(V20),"",V20*X20)</f>
        <v/>
      </c>
      <c r="Z20" s="108"/>
      <c r="AA20" s="103"/>
      <c r="AB20" s="113"/>
      <c r="AC20" s="36" t="s">
        <v>116</v>
      </c>
      <c r="AD20" s="108" t="str">
        <f aca="false">IF(ISBLANK(AA20),"",AA20*AC20)</f>
        <v/>
      </c>
      <c r="AE20" s="108"/>
      <c r="AF20" s="103"/>
      <c r="AG20" s="113"/>
      <c r="AH20" s="36" t="s">
        <v>116</v>
      </c>
      <c r="AI20" s="108" t="str">
        <f aca="false">IF(ISBLANK(AF20),"",AF20*AH20)</f>
        <v/>
      </c>
      <c r="AJ20" s="108"/>
      <c r="AK20" s="103"/>
      <c r="AL20" s="113"/>
      <c r="AM20" s="36" t="s">
        <v>116</v>
      </c>
      <c r="AN20" s="108" t="str">
        <f aca="false">IF(ISBLANK(AK20),"",AK20*AM20)</f>
        <v/>
      </c>
      <c r="AO20" s="108"/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112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 t="str">
        <f aca="false">IF(ISBLANK(V21),"",V21*X21)</f>
        <v/>
      </c>
      <c r="Z21" s="108"/>
      <c r="AA21" s="103"/>
      <c r="AB21" s="113"/>
      <c r="AC21" s="36"/>
      <c r="AD21" s="108" t="str">
        <f aca="false">IF(ISBLANK(AA21),"",AA21*AC21)</f>
        <v/>
      </c>
      <c r="AE21" s="108"/>
      <c r="AF21" s="103"/>
      <c r="AG21" s="113"/>
      <c r="AH21" s="36"/>
      <c r="AI21" s="108" t="str">
        <f aca="false">IF(ISBLANK(AF21),"",AF21*AH21)</f>
        <v/>
      </c>
      <c r="AJ21" s="108"/>
      <c r="AK21" s="103"/>
      <c r="AL21" s="113"/>
      <c r="AM21" s="36"/>
      <c r="AN21" s="108" t="str">
        <f aca="false">IF(ISBLANK(AK21),"",AK21*AM21)</f>
        <v/>
      </c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112" t="s">
        <v>323</v>
      </c>
      <c r="C22" s="113" t="n">
        <v>250</v>
      </c>
      <c r="D22" s="36" t="s">
        <v>116</v>
      </c>
      <c r="E22" s="108" t="n">
        <v>10</v>
      </c>
      <c r="F22" s="108" t="n">
        <f aca="false">IF(ISBLANK(C22),"",C22*E22)</f>
        <v>2500</v>
      </c>
      <c r="G22" s="103"/>
      <c r="H22" s="113" t="n">
        <v>250</v>
      </c>
      <c r="I22" s="36" t="s">
        <v>116</v>
      </c>
      <c r="J22" s="108" t="n">
        <v>10</v>
      </c>
      <c r="K22" s="108" t="n">
        <f aca="false">IF(ISBLANK(H22),"",H22*J22)</f>
        <v>2500</v>
      </c>
      <c r="L22" s="103"/>
      <c r="M22" s="113" t="n">
        <v>250</v>
      </c>
      <c r="N22" s="36" t="s">
        <v>116</v>
      </c>
      <c r="O22" s="108" t="n">
        <v>10</v>
      </c>
      <c r="P22" s="108" t="n">
        <f aca="false">IF(ISBLANK(M22),"",M22*O22)</f>
        <v>2500</v>
      </c>
      <c r="Q22" s="103"/>
      <c r="R22" s="113" t="n">
        <v>250</v>
      </c>
      <c r="S22" s="36" t="s">
        <v>116</v>
      </c>
      <c r="T22" s="108" t="n">
        <v>10</v>
      </c>
      <c r="U22" s="108" t="n">
        <f aca="false">IF(ISBLANK(R22),"",R22*T22)</f>
        <v>2500</v>
      </c>
      <c r="V22" s="103"/>
      <c r="W22" s="113"/>
      <c r="X22" s="36" t="s">
        <v>116</v>
      </c>
      <c r="Y22" s="108" t="str">
        <f aca="false">IF(ISBLANK(V22),"",V22*X22)</f>
        <v/>
      </c>
      <c r="Z22" s="108"/>
      <c r="AA22" s="103"/>
      <c r="AB22" s="113"/>
      <c r="AC22" s="36" t="s">
        <v>116</v>
      </c>
      <c r="AD22" s="108" t="str">
        <f aca="false">IF(ISBLANK(AA22),"",AA22*AC22)</f>
        <v/>
      </c>
      <c r="AE22" s="108"/>
      <c r="AF22" s="103"/>
      <c r="AG22" s="113"/>
      <c r="AH22" s="36" t="s">
        <v>116</v>
      </c>
      <c r="AI22" s="108" t="str">
        <f aca="false">IF(ISBLANK(AF22),"",AF22*AH22)</f>
        <v/>
      </c>
      <c r="AJ22" s="108"/>
      <c r="AK22" s="103"/>
      <c r="AL22" s="113"/>
      <c r="AM22" s="36" t="s">
        <v>116</v>
      </c>
      <c r="AN22" s="108" t="str">
        <f aca="false">IF(ISBLANK(AK22),"",AK22*AM22)</f>
        <v/>
      </c>
      <c r="AO22" s="108"/>
      <c r="AP22" s="103"/>
    </row>
    <row r="23" customFormat="false" ht="11.25" hidden="false" customHeight="true" outlineLevel="0" collapsed="false">
      <c r="A23" s="109"/>
      <c r="B23" s="112"/>
      <c r="C23" s="113"/>
      <c r="D23" s="36"/>
      <c r="E23" s="108"/>
      <c r="F23" s="108"/>
      <c r="G23" s="103"/>
      <c r="H23" s="113"/>
      <c r="I23" s="36"/>
      <c r="J23" s="108"/>
      <c r="K23" s="108"/>
      <c r="L23" s="103"/>
      <c r="M23" s="113"/>
      <c r="N23" s="36"/>
      <c r="O23" s="108"/>
      <c r="P23" s="108"/>
      <c r="Q23" s="103"/>
      <c r="R23" s="113"/>
      <c r="S23" s="36"/>
      <c r="T23" s="108"/>
      <c r="U23" s="108"/>
      <c r="V23" s="103"/>
      <c r="W23" s="113"/>
      <c r="X23" s="36"/>
      <c r="Y23" s="108" t="str">
        <f aca="false">IF(ISBLANK(V23),"",V23*X23)</f>
        <v/>
      </c>
      <c r="Z23" s="108"/>
      <c r="AA23" s="103"/>
      <c r="AB23" s="113"/>
      <c r="AC23" s="36"/>
      <c r="AD23" s="108" t="str">
        <f aca="false">IF(ISBLANK(AA23),"",AA23*AC23)</f>
        <v/>
      </c>
      <c r="AE23" s="108"/>
      <c r="AF23" s="103"/>
      <c r="AG23" s="113"/>
      <c r="AH23" s="36"/>
      <c r="AI23" s="108" t="str">
        <f aca="false">IF(ISBLANK(AF23),"",AF23*AH23)</f>
        <v/>
      </c>
      <c r="AJ23" s="108"/>
      <c r="AK23" s="103"/>
      <c r="AL23" s="113"/>
      <c r="AM23" s="36"/>
      <c r="AN23" s="108" t="str">
        <f aca="false">IF(ISBLANK(AK23),"",AK23*AM23)</f>
        <v/>
      </c>
      <c r="AO23" s="108"/>
      <c r="AP23" s="103"/>
    </row>
    <row r="24" customFormat="false" ht="11.25" hidden="false" customHeight="true" outlineLevel="0" collapsed="false">
      <c r="A24" s="174" t="n">
        <f aca="false">IF(B24&gt;0,IF(C24&gt;0,MAX($A$5:A22)+1," ")," ")</f>
        <v>9</v>
      </c>
      <c r="B24" s="112" t="s">
        <v>324</v>
      </c>
      <c r="C24" s="113" t="n">
        <v>250</v>
      </c>
      <c r="D24" s="36" t="s">
        <v>209</v>
      </c>
      <c r="E24" s="108" t="n">
        <v>10</v>
      </c>
      <c r="F24" s="108" t="n">
        <f aca="false">IF(ISBLANK(C24),"",C24*E24)</f>
        <v>2500</v>
      </c>
      <c r="G24" s="103"/>
      <c r="H24" s="113" t="n">
        <v>250</v>
      </c>
      <c r="I24" s="36" t="s">
        <v>209</v>
      </c>
      <c r="J24" s="108" t="n">
        <v>10</v>
      </c>
      <c r="K24" s="108" t="n">
        <f aca="false">IF(ISBLANK(H24),"",H24*J24)</f>
        <v>2500</v>
      </c>
      <c r="L24" s="103"/>
      <c r="M24" s="113" t="n">
        <v>250</v>
      </c>
      <c r="N24" s="36" t="s">
        <v>209</v>
      </c>
      <c r="O24" s="108" t="n">
        <v>10</v>
      </c>
      <c r="P24" s="108" t="n">
        <f aca="false">IF(ISBLANK(M24),"",M24*O24)</f>
        <v>2500</v>
      </c>
      <c r="Q24" s="103"/>
      <c r="R24" s="113" t="n">
        <v>250</v>
      </c>
      <c r="S24" s="36" t="s">
        <v>209</v>
      </c>
      <c r="T24" s="108" t="n">
        <v>10</v>
      </c>
      <c r="U24" s="108" t="n">
        <f aca="false">IF(ISBLANK(R24),"",R24*T24)</f>
        <v>2500</v>
      </c>
      <c r="V24" s="103"/>
      <c r="W24" s="113"/>
      <c r="X24" s="36" t="s">
        <v>209</v>
      </c>
      <c r="Y24" s="108" t="str">
        <f aca="false">IF(ISBLANK(V24),"",V24*X24)</f>
        <v/>
      </c>
      <c r="Z24" s="108"/>
      <c r="AA24" s="103"/>
      <c r="AB24" s="113"/>
      <c r="AC24" s="36" t="s">
        <v>209</v>
      </c>
      <c r="AD24" s="108" t="str">
        <f aca="false">IF(ISBLANK(AA24),"",AA24*AC24)</f>
        <v/>
      </c>
      <c r="AE24" s="108"/>
      <c r="AF24" s="103"/>
      <c r="AG24" s="113"/>
      <c r="AH24" s="36" t="s">
        <v>209</v>
      </c>
      <c r="AI24" s="108" t="str">
        <f aca="false">IF(ISBLANK(AF24),"",AF24*AH24)</f>
        <v/>
      </c>
      <c r="AJ24" s="108"/>
      <c r="AK24" s="103"/>
      <c r="AL24" s="113"/>
      <c r="AM24" s="36" t="s">
        <v>209</v>
      </c>
      <c r="AN24" s="108" t="str">
        <f aca="false">IF(ISBLANK(AK24),"",AK24*AM24)</f>
        <v/>
      </c>
      <c r="AO24" s="108"/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112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 t="str">
        <f aca="false">IF(ISBLANK(V25),"",V25*X25)</f>
        <v/>
      </c>
      <c r="Z25" s="108"/>
      <c r="AA25" s="103"/>
      <c r="AB25" s="113"/>
      <c r="AC25" s="36"/>
      <c r="AD25" s="108" t="str">
        <f aca="false">IF(ISBLANK(AA25),"",AA25*AC25)</f>
        <v/>
      </c>
      <c r="AE25" s="108"/>
      <c r="AF25" s="103"/>
      <c r="AG25" s="113"/>
      <c r="AH25" s="36"/>
      <c r="AI25" s="108" t="str">
        <f aca="false">IF(ISBLANK(AF25),"",AF25*AH25)</f>
        <v/>
      </c>
      <c r="AJ25" s="108"/>
      <c r="AK25" s="103"/>
      <c r="AL25" s="113"/>
      <c r="AM25" s="36"/>
      <c r="AN25" s="108" t="str">
        <f aca="false">IF(ISBLANK(AK25),"",AK25*AM25)</f>
        <v/>
      </c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112" t="s">
        <v>325</v>
      </c>
      <c r="C26" s="113" t="n">
        <v>250</v>
      </c>
      <c r="D26" s="36" t="s">
        <v>116</v>
      </c>
      <c r="E26" s="108" t="n">
        <v>10</v>
      </c>
      <c r="F26" s="108" t="n">
        <f aca="false">IF(ISBLANK(C26),"",C26*E26)</f>
        <v>2500</v>
      </c>
      <c r="G26" s="103"/>
      <c r="H26" s="113" t="n">
        <v>250</v>
      </c>
      <c r="I26" s="36" t="s">
        <v>116</v>
      </c>
      <c r="J26" s="108" t="n">
        <v>10</v>
      </c>
      <c r="K26" s="108" t="n">
        <f aca="false">IF(ISBLANK(H26),"",H26*J26)</f>
        <v>2500</v>
      </c>
      <c r="L26" s="103"/>
      <c r="M26" s="113" t="n">
        <v>250</v>
      </c>
      <c r="N26" s="36" t="s">
        <v>116</v>
      </c>
      <c r="O26" s="108" t="n">
        <v>10</v>
      </c>
      <c r="P26" s="108" t="n">
        <f aca="false">IF(ISBLANK(M26),"",M26*O26)</f>
        <v>2500</v>
      </c>
      <c r="Q26" s="103"/>
      <c r="R26" s="113" t="n">
        <v>250</v>
      </c>
      <c r="S26" s="36" t="s">
        <v>116</v>
      </c>
      <c r="T26" s="108" t="n">
        <v>10</v>
      </c>
      <c r="U26" s="108" t="n">
        <f aca="false">IF(ISBLANK(R26),"",R26*T26)</f>
        <v>2500</v>
      </c>
      <c r="V26" s="103"/>
      <c r="W26" s="113"/>
      <c r="X26" s="36" t="s">
        <v>116</v>
      </c>
      <c r="Y26" s="108" t="str">
        <f aca="false">IF(ISBLANK(V26),"",V26*X26)</f>
        <v/>
      </c>
      <c r="Z26" s="108"/>
      <c r="AA26" s="103"/>
      <c r="AB26" s="113"/>
      <c r="AC26" s="36" t="s">
        <v>116</v>
      </c>
      <c r="AD26" s="108" t="str">
        <f aca="false">IF(ISBLANK(AA26),"",AA26*AC26)</f>
        <v/>
      </c>
      <c r="AE26" s="108"/>
      <c r="AF26" s="103"/>
      <c r="AG26" s="113"/>
      <c r="AH26" s="36" t="s">
        <v>116</v>
      </c>
      <c r="AI26" s="108" t="str">
        <f aca="false">IF(ISBLANK(AF26),"",AF26*AH26)</f>
        <v/>
      </c>
      <c r="AJ26" s="108"/>
      <c r="AK26" s="103"/>
      <c r="AL26" s="113"/>
      <c r="AM26" s="36" t="s">
        <v>116</v>
      </c>
      <c r="AN26" s="108" t="str">
        <f aca="false">IF(ISBLANK(AK26),"",AK26*AM26)</f>
        <v/>
      </c>
      <c r="AO26" s="108"/>
      <c r="AP26" s="103"/>
    </row>
    <row r="27" customFormat="false" ht="11.25" hidden="false" customHeight="true" outlineLevel="0" collapsed="false">
      <c r="A27" s="109"/>
      <c r="B27" s="112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 t="str">
        <f aca="false">IF(ISBLANK(V27),"",V27*X27)</f>
        <v/>
      </c>
      <c r="Z27" s="108"/>
      <c r="AA27" s="103"/>
      <c r="AB27" s="113"/>
      <c r="AC27" s="36"/>
      <c r="AD27" s="108" t="str">
        <f aca="false">IF(ISBLANK(AA27),"",AA27*AC27)</f>
        <v/>
      </c>
      <c r="AE27" s="108"/>
      <c r="AF27" s="103"/>
      <c r="AG27" s="113"/>
      <c r="AH27" s="36"/>
      <c r="AI27" s="108" t="str">
        <f aca="false">IF(ISBLANK(AF27),"",AF27*AH27)</f>
        <v/>
      </c>
      <c r="AJ27" s="108"/>
      <c r="AK27" s="103"/>
      <c r="AL27" s="113"/>
      <c r="AM27" s="36"/>
      <c r="AN27" s="108" t="str">
        <f aca="false">IF(ISBLANK(AK27),"",AK27*AM27)</f>
        <v/>
      </c>
      <c r="AO27" s="108"/>
      <c r="AP27" s="103"/>
    </row>
    <row r="28" customFormat="false" ht="11.25" hidden="false" customHeight="true" outlineLevel="0" collapsed="false">
      <c r="A28" s="174" t="n">
        <f aca="false">IF(B28&gt;0,IF(C28&gt;0,MAX($A$5:A26)+1," ")," ")</f>
        <v>11</v>
      </c>
      <c r="B28" s="112" t="s">
        <v>326</v>
      </c>
      <c r="C28" s="113" t="n">
        <v>250</v>
      </c>
      <c r="D28" s="36" t="s">
        <v>116</v>
      </c>
      <c r="E28" s="108" t="n">
        <v>10</v>
      </c>
      <c r="F28" s="108" t="n">
        <f aca="false">IF(ISBLANK(C28),"",C28*E28)</f>
        <v>2500</v>
      </c>
      <c r="G28" s="103"/>
      <c r="H28" s="113" t="n">
        <v>250</v>
      </c>
      <c r="I28" s="36" t="s">
        <v>116</v>
      </c>
      <c r="J28" s="108" t="n">
        <v>10</v>
      </c>
      <c r="K28" s="108" t="n">
        <f aca="false">IF(ISBLANK(H28),"",H28*J28)</f>
        <v>2500</v>
      </c>
      <c r="L28" s="103"/>
      <c r="M28" s="113" t="n">
        <v>250</v>
      </c>
      <c r="N28" s="36" t="s">
        <v>116</v>
      </c>
      <c r="O28" s="108" t="n">
        <v>10</v>
      </c>
      <c r="P28" s="108" t="n">
        <f aca="false">IF(ISBLANK(M28),"",M28*O28)</f>
        <v>2500</v>
      </c>
      <c r="Q28" s="103"/>
      <c r="R28" s="113" t="n">
        <v>250</v>
      </c>
      <c r="S28" s="36" t="s">
        <v>116</v>
      </c>
      <c r="T28" s="108" t="n">
        <v>10</v>
      </c>
      <c r="U28" s="108" t="n">
        <f aca="false">IF(ISBLANK(R28),"",R28*T28)</f>
        <v>2500</v>
      </c>
      <c r="V28" s="103"/>
      <c r="W28" s="113"/>
      <c r="X28" s="36" t="s">
        <v>116</v>
      </c>
      <c r="Y28" s="108" t="str">
        <f aca="false">IF(ISBLANK(V28),"",V28*X28)</f>
        <v/>
      </c>
      <c r="Z28" s="108"/>
      <c r="AA28" s="103"/>
      <c r="AB28" s="113"/>
      <c r="AC28" s="36" t="s">
        <v>116</v>
      </c>
      <c r="AD28" s="108" t="str">
        <f aca="false">IF(ISBLANK(AA28),"",AA28*AC28)</f>
        <v/>
      </c>
      <c r="AE28" s="108"/>
      <c r="AF28" s="103"/>
      <c r="AG28" s="113"/>
      <c r="AH28" s="36" t="s">
        <v>116</v>
      </c>
      <c r="AI28" s="108" t="str">
        <f aca="false">IF(ISBLANK(AF28),"",AF28*AH28)</f>
        <v/>
      </c>
      <c r="AJ28" s="108"/>
      <c r="AK28" s="103"/>
      <c r="AL28" s="113"/>
      <c r="AM28" s="36" t="s">
        <v>116</v>
      </c>
      <c r="AN28" s="108" t="str">
        <f aca="false">IF(ISBLANK(AK28),"",AK28*AM28)</f>
        <v/>
      </c>
      <c r="AO28" s="108"/>
      <c r="AP28" s="103"/>
    </row>
    <row r="29" customFormat="false" ht="11.25" hidden="false" customHeight="true" outlineLevel="0" collapsed="false">
      <c r="A29" s="109"/>
      <c r="B29" s="112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 t="str">
        <f aca="false">IF(ISBLANK(V29),"",V29*X29)</f>
        <v/>
      </c>
      <c r="Z29" s="108"/>
      <c r="AA29" s="103"/>
      <c r="AB29" s="113"/>
      <c r="AC29" s="36"/>
      <c r="AD29" s="108" t="str">
        <f aca="false">IF(ISBLANK(AA29),"",AA29*AC29)</f>
        <v/>
      </c>
      <c r="AE29" s="108"/>
      <c r="AF29" s="103"/>
      <c r="AG29" s="113"/>
      <c r="AH29" s="36"/>
      <c r="AI29" s="108" t="str">
        <f aca="false">IF(ISBLANK(AF29),"",AF29*AH29)</f>
        <v/>
      </c>
      <c r="AJ29" s="108"/>
      <c r="AK29" s="103"/>
      <c r="AL29" s="113"/>
      <c r="AM29" s="36"/>
      <c r="AN29" s="108" t="str">
        <f aca="false">IF(ISBLANK(AK29),"",AK29*AM29)</f>
        <v/>
      </c>
      <c r="AO29" s="108"/>
      <c r="AP29" s="103"/>
    </row>
    <row r="30" customFormat="false" ht="11.25" hidden="false" customHeight="true" outlineLevel="0" collapsed="false">
      <c r="A30" s="174" t="n">
        <f aca="false">IF(B30&gt;0,IF(C30&gt;0,MAX($A$5:A28)+1," ")," ")</f>
        <v>12</v>
      </c>
      <c r="B30" s="112" t="s">
        <v>327</v>
      </c>
      <c r="C30" s="113" t="n">
        <v>250</v>
      </c>
      <c r="D30" s="36" t="s">
        <v>116</v>
      </c>
      <c r="E30" s="108" t="n">
        <v>10</v>
      </c>
      <c r="F30" s="108" t="n">
        <f aca="false">IF(ISBLANK(C30),"",C30*E30)</f>
        <v>2500</v>
      </c>
      <c r="G30" s="103"/>
      <c r="H30" s="113" t="n">
        <v>250</v>
      </c>
      <c r="I30" s="36" t="s">
        <v>116</v>
      </c>
      <c r="J30" s="108" t="n">
        <v>10</v>
      </c>
      <c r="K30" s="108" t="n">
        <f aca="false">IF(ISBLANK(H30),"",H30*J30)</f>
        <v>2500</v>
      </c>
      <c r="L30" s="103"/>
      <c r="M30" s="113" t="n">
        <v>250</v>
      </c>
      <c r="N30" s="36" t="s">
        <v>116</v>
      </c>
      <c r="O30" s="108" t="n">
        <v>10</v>
      </c>
      <c r="P30" s="108" t="n">
        <f aca="false">IF(ISBLANK(M30),"",M30*O30)</f>
        <v>2500</v>
      </c>
      <c r="Q30" s="103"/>
      <c r="R30" s="113" t="n">
        <v>250</v>
      </c>
      <c r="S30" s="36" t="s">
        <v>116</v>
      </c>
      <c r="T30" s="108" t="n">
        <v>10</v>
      </c>
      <c r="U30" s="108" t="n">
        <f aca="false">IF(ISBLANK(R30),"",R30*T30)</f>
        <v>2500</v>
      </c>
      <c r="V30" s="103"/>
      <c r="W30" s="113"/>
      <c r="X30" s="36" t="s">
        <v>116</v>
      </c>
      <c r="Y30" s="108" t="str">
        <f aca="false">IF(ISBLANK(V30),"",V30*X30)</f>
        <v/>
      </c>
      <c r="Z30" s="108"/>
      <c r="AA30" s="103"/>
      <c r="AB30" s="113"/>
      <c r="AC30" s="36" t="s">
        <v>116</v>
      </c>
      <c r="AD30" s="108" t="str">
        <f aca="false">IF(ISBLANK(AA30),"",AA30*AC30)</f>
        <v/>
      </c>
      <c r="AE30" s="108"/>
      <c r="AF30" s="103"/>
      <c r="AG30" s="113"/>
      <c r="AH30" s="36" t="s">
        <v>116</v>
      </c>
      <c r="AI30" s="108" t="str">
        <f aca="false">IF(ISBLANK(AF30),"",AF30*AH30)</f>
        <v/>
      </c>
      <c r="AJ30" s="108"/>
      <c r="AK30" s="103"/>
      <c r="AL30" s="113"/>
      <c r="AM30" s="36" t="s">
        <v>116</v>
      </c>
      <c r="AN30" s="108" t="str">
        <f aca="false">IF(ISBLANK(AK30),"",AK30*AM30)</f>
        <v/>
      </c>
      <c r="AO30" s="108"/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112"/>
      <c r="C31" s="113"/>
      <c r="D31" s="36"/>
      <c r="E31" s="108"/>
      <c r="F31" s="108"/>
      <c r="G31" s="103"/>
      <c r="H31" s="113"/>
      <c r="I31" s="36"/>
      <c r="J31" s="108"/>
      <c r="K31" s="108"/>
      <c r="L31" s="103"/>
      <c r="M31" s="113"/>
      <c r="N31" s="36"/>
      <c r="O31" s="108"/>
      <c r="P31" s="108"/>
      <c r="Q31" s="103"/>
      <c r="R31" s="113"/>
      <c r="S31" s="36"/>
      <c r="T31" s="108"/>
      <c r="U31" s="108"/>
      <c r="V31" s="103"/>
      <c r="W31" s="113"/>
      <c r="X31" s="36"/>
      <c r="Y31" s="108" t="str">
        <f aca="false">IF(ISBLANK(V31),"",V31*X31)</f>
        <v/>
      </c>
      <c r="Z31" s="108"/>
      <c r="AA31" s="103"/>
      <c r="AB31" s="113"/>
      <c r="AC31" s="36"/>
      <c r="AD31" s="108" t="str">
        <f aca="false">IF(ISBLANK(AA31),"",AA31*AC31)</f>
        <v/>
      </c>
      <c r="AE31" s="108"/>
      <c r="AF31" s="103"/>
      <c r="AG31" s="113"/>
      <c r="AH31" s="36"/>
      <c r="AI31" s="108" t="str">
        <f aca="false">IF(ISBLANK(AF31),"",AF31*AH31)</f>
        <v/>
      </c>
      <c r="AJ31" s="108"/>
      <c r="AK31" s="103"/>
      <c r="AL31" s="113"/>
      <c r="AM31" s="36"/>
      <c r="AN31" s="108" t="str">
        <f aca="false">IF(ISBLANK(AK31),"",AK31*AM31)</f>
        <v/>
      </c>
      <c r="AO31" s="108"/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112" t="s">
        <v>328</v>
      </c>
      <c r="C32" s="113" t="n">
        <v>250</v>
      </c>
      <c r="D32" s="36" t="s">
        <v>329</v>
      </c>
      <c r="E32" s="108" t="n">
        <v>10</v>
      </c>
      <c r="F32" s="108" t="n">
        <f aca="false">IF(ISBLANK(C32),"",C32*E32)</f>
        <v>2500</v>
      </c>
      <c r="G32" s="103"/>
      <c r="H32" s="113" t="n">
        <v>250</v>
      </c>
      <c r="I32" s="36" t="s">
        <v>329</v>
      </c>
      <c r="J32" s="108" t="n">
        <v>10</v>
      </c>
      <c r="K32" s="108" t="n">
        <f aca="false">IF(ISBLANK(H32),"",H32*J32)</f>
        <v>2500</v>
      </c>
      <c r="L32" s="103"/>
      <c r="M32" s="113" t="n">
        <v>250</v>
      </c>
      <c r="N32" s="36" t="s">
        <v>329</v>
      </c>
      <c r="O32" s="108" t="n">
        <v>10</v>
      </c>
      <c r="P32" s="108" t="n">
        <f aca="false">IF(ISBLANK(M32),"",M32*O32)</f>
        <v>2500</v>
      </c>
      <c r="Q32" s="103"/>
      <c r="R32" s="113" t="n">
        <v>250</v>
      </c>
      <c r="S32" s="36" t="s">
        <v>329</v>
      </c>
      <c r="T32" s="108" t="n">
        <v>10</v>
      </c>
      <c r="U32" s="108" t="n">
        <f aca="false">IF(ISBLANK(R32),"",R32*T32)</f>
        <v>2500</v>
      </c>
      <c r="V32" s="103"/>
      <c r="W32" s="113"/>
      <c r="X32" s="36" t="s">
        <v>329</v>
      </c>
      <c r="Y32" s="108" t="str">
        <f aca="false">IF(ISBLANK(V32),"",V32*X32)</f>
        <v/>
      </c>
      <c r="Z32" s="108"/>
      <c r="AA32" s="103"/>
      <c r="AB32" s="113"/>
      <c r="AC32" s="36" t="s">
        <v>329</v>
      </c>
      <c r="AD32" s="108" t="str">
        <f aca="false">IF(ISBLANK(AA32),"",AA32*AC32)</f>
        <v/>
      </c>
      <c r="AE32" s="108"/>
      <c r="AF32" s="103"/>
      <c r="AG32" s="113"/>
      <c r="AH32" s="36" t="s">
        <v>329</v>
      </c>
      <c r="AI32" s="108" t="str">
        <f aca="false">IF(ISBLANK(AF32),"",AF32*AH32)</f>
        <v/>
      </c>
      <c r="AJ32" s="108"/>
      <c r="AK32" s="103"/>
      <c r="AL32" s="113"/>
      <c r="AM32" s="36" t="s">
        <v>329</v>
      </c>
      <c r="AN32" s="108" t="str">
        <f aca="false">IF(ISBLANK(AK32),"",AK32*AM32)</f>
        <v/>
      </c>
      <c r="AO32" s="108"/>
      <c r="AP32" s="103"/>
    </row>
    <row r="33" customFormat="false" ht="11.25" hidden="false" customHeight="true" outlineLevel="0" collapsed="false">
      <c r="A33" s="109"/>
      <c r="B33" s="112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 t="str">
        <f aca="false">IF(ISBLANK(V33),"",V33*X33)</f>
        <v/>
      </c>
      <c r="Z33" s="108"/>
      <c r="AA33" s="103"/>
      <c r="AB33" s="113"/>
      <c r="AC33" s="36"/>
      <c r="AD33" s="108" t="str">
        <f aca="false">IF(ISBLANK(AA33),"",AA33*AC33)</f>
        <v/>
      </c>
      <c r="AE33" s="108"/>
      <c r="AF33" s="103"/>
      <c r="AG33" s="113"/>
      <c r="AH33" s="36"/>
      <c r="AI33" s="108" t="str">
        <f aca="false">IF(ISBLANK(AF33),"",AF33*AH33)</f>
        <v/>
      </c>
      <c r="AJ33" s="108"/>
      <c r="AK33" s="103"/>
      <c r="AL33" s="113"/>
      <c r="AM33" s="36"/>
      <c r="AN33" s="108" t="str">
        <f aca="false">IF(ISBLANK(AK33),"",AK33*AM33)</f>
        <v/>
      </c>
      <c r="AO33" s="108"/>
      <c r="AP33" s="103"/>
    </row>
    <row r="34" customFormat="false" ht="11.25" hidden="false" customHeight="true" outlineLevel="0" collapsed="false">
      <c r="A34" s="174" t="n">
        <f aca="false">IF(B34&gt;0,IF(C34&gt;0,MAX($A$5:A32)+1," ")," ")</f>
        <v>14</v>
      </c>
      <c r="B34" s="112" t="s">
        <v>330</v>
      </c>
      <c r="C34" s="113" t="n">
        <v>250</v>
      </c>
      <c r="D34" s="36" t="s">
        <v>272</v>
      </c>
      <c r="E34" s="108" t="n">
        <v>10</v>
      </c>
      <c r="F34" s="108" t="n">
        <f aca="false">IF(ISBLANK(C34),"",C34*E34)</f>
        <v>2500</v>
      </c>
      <c r="G34" s="103"/>
      <c r="H34" s="113" t="n">
        <v>250</v>
      </c>
      <c r="I34" s="36" t="s">
        <v>272</v>
      </c>
      <c r="J34" s="108" t="n">
        <v>10</v>
      </c>
      <c r="K34" s="108" t="n">
        <f aca="false">IF(ISBLANK(H34),"",H34*J34)</f>
        <v>2500</v>
      </c>
      <c r="L34" s="103"/>
      <c r="M34" s="113" t="n">
        <v>250</v>
      </c>
      <c r="N34" s="36" t="s">
        <v>272</v>
      </c>
      <c r="O34" s="108" t="n">
        <v>10</v>
      </c>
      <c r="P34" s="108" t="n">
        <f aca="false">IF(ISBLANK(M34),"",M34*O34)</f>
        <v>2500</v>
      </c>
      <c r="Q34" s="103"/>
      <c r="R34" s="113" t="n">
        <v>250</v>
      </c>
      <c r="S34" s="36" t="s">
        <v>272</v>
      </c>
      <c r="T34" s="108" t="n">
        <v>10</v>
      </c>
      <c r="U34" s="108" t="n">
        <f aca="false">IF(ISBLANK(R34),"",R34*T34)</f>
        <v>2500</v>
      </c>
      <c r="V34" s="103"/>
      <c r="W34" s="113"/>
      <c r="X34" s="36" t="s">
        <v>272</v>
      </c>
      <c r="Y34" s="108" t="str">
        <f aca="false">IF(ISBLANK(V34),"",V34*X34)</f>
        <v/>
      </c>
      <c r="Z34" s="108"/>
      <c r="AA34" s="103"/>
      <c r="AB34" s="113"/>
      <c r="AC34" s="36" t="s">
        <v>272</v>
      </c>
      <c r="AD34" s="108" t="str">
        <f aca="false">IF(ISBLANK(AA34),"",AA34*AC34)</f>
        <v/>
      </c>
      <c r="AE34" s="108"/>
      <c r="AF34" s="103"/>
      <c r="AG34" s="113"/>
      <c r="AH34" s="36" t="s">
        <v>272</v>
      </c>
      <c r="AI34" s="108" t="str">
        <f aca="false">IF(ISBLANK(AF34),"",AF34*AH34)</f>
        <v/>
      </c>
      <c r="AJ34" s="108"/>
      <c r="AK34" s="103"/>
      <c r="AL34" s="113"/>
      <c r="AM34" s="36" t="s">
        <v>272</v>
      </c>
      <c r="AN34" s="108" t="str">
        <f aca="false">IF(ISBLANK(AK34),"",AK34*AM34)</f>
        <v/>
      </c>
      <c r="AO34" s="108"/>
      <c r="AP34" s="103"/>
    </row>
    <row r="35" customFormat="false" ht="11.25" hidden="false" customHeight="true" outlineLevel="0" collapsed="false">
      <c r="A35" s="109"/>
      <c r="B35" s="112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 t="str">
        <f aca="false">IF(ISBLANK(V35),"",V35*X35)</f>
        <v/>
      </c>
      <c r="Z35" s="108"/>
      <c r="AA35" s="103"/>
      <c r="AB35" s="113"/>
      <c r="AC35" s="36"/>
      <c r="AD35" s="108" t="str">
        <f aca="false">IF(ISBLANK(AA35),"",AA35*AC35)</f>
        <v/>
      </c>
      <c r="AE35" s="108"/>
      <c r="AF35" s="103"/>
      <c r="AG35" s="113"/>
      <c r="AH35" s="36"/>
      <c r="AI35" s="108" t="str">
        <f aca="false">IF(ISBLANK(AF35),"",AF35*AH35)</f>
        <v/>
      </c>
      <c r="AJ35" s="108"/>
      <c r="AK35" s="103"/>
      <c r="AL35" s="113"/>
      <c r="AM35" s="36"/>
      <c r="AN35" s="108" t="str">
        <f aca="false">IF(ISBLANK(AK35),"",AK35*AM35)</f>
        <v/>
      </c>
      <c r="AO35" s="108"/>
      <c r="AP35" s="103"/>
    </row>
    <row r="36" customFormat="false" ht="11.25" hidden="false" customHeight="true" outlineLevel="0" collapsed="false">
      <c r="A36" s="174" t="n">
        <f aca="false">IF(B36&gt;0,IF(C36&gt;0,MAX($A$5:A34)+1," ")," ")</f>
        <v>15</v>
      </c>
      <c r="B36" s="112" t="s">
        <v>331</v>
      </c>
      <c r="C36" s="113" t="n">
        <v>250</v>
      </c>
      <c r="D36" s="36" t="s">
        <v>272</v>
      </c>
      <c r="E36" s="108" t="n">
        <v>10</v>
      </c>
      <c r="F36" s="108" t="n">
        <f aca="false">IF(ISBLANK(C36),"",C36*E36)</f>
        <v>2500</v>
      </c>
      <c r="G36" s="103"/>
      <c r="H36" s="113" t="n">
        <v>250</v>
      </c>
      <c r="I36" s="36" t="s">
        <v>272</v>
      </c>
      <c r="J36" s="108" t="n">
        <v>10</v>
      </c>
      <c r="K36" s="108" t="n">
        <f aca="false">IF(ISBLANK(H36),"",H36*J36)</f>
        <v>2500</v>
      </c>
      <c r="L36" s="103"/>
      <c r="M36" s="113" t="n">
        <v>250</v>
      </c>
      <c r="N36" s="36" t="s">
        <v>272</v>
      </c>
      <c r="O36" s="108" t="n">
        <v>10</v>
      </c>
      <c r="P36" s="108" t="n">
        <f aca="false">IF(ISBLANK(M36),"",M36*O36)</f>
        <v>2500</v>
      </c>
      <c r="Q36" s="103"/>
      <c r="R36" s="113" t="n">
        <v>250</v>
      </c>
      <c r="S36" s="36" t="s">
        <v>272</v>
      </c>
      <c r="T36" s="108" t="n">
        <v>10</v>
      </c>
      <c r="U36" s="108" t="n">
        <f aca="false">IF(ISBLANK(R36),"",R36*T36)</f>
        <v>2500</v>
      </c>
      <c r="V36" s="103"/>
      <c r="W36" s="113"/>
      <c r="X36" s="36" t="s">
        <v>272</v>
      </c>
      <c r="Y36" s="108" t="str">
        <f aca="false">IF(ISBLANK(V36),"",V36*X36)</f>
        <v/>
      </c>
      <c r="Z36" s="108"/>
      <c r="AA36" s="103"/>
      <c r="AB36" s="113"/>
      <c r="AC36" s="36" t="s">
        <v>272</v>
      </c>
      <c r="AD36" s="108" t="str">
        <f aca="false">IF(ISBLANK(AA36),"",AA36*AC36)</f>
        <v/>
      </c>
      <c r="AE36" s="108"/>
      <c r="AF36" s="103"/>
      <c r="AG36" s="113"/>
      <c r="AH36" s="36" t="s">
        <v>272</v>
      </c>
      <c r="AI36" s="108" t="str">
        <f aca="false">IF(ISBLANK(AF36),"",AF36*AH36)</f>
        <v/>
      </c>
      <c r="AJ36" s="108"/>
      <c r="AK36" s="103"/>
      <c r="AL36" s="113"/>
      <c r="AM36" s="36" t="s">
        <v>272</v>
      </c>
      <c r="AN36" s="108" t="str">
        <f aca="false">IF(ISBLANK(AK36),"",AK36*AM36)</f>
        <v/>
      </c>
      <c r="AO36" s="108"/>
      <c r="AP36" s="103"/>
    </row>
    <row r="37" customFormat="false" ht="11.25" hidden="false" customHeight="true" outlineLevel="0" collapsed="false">
      <c r="A37" s="109"/>
      <c r="B37" s="112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 t="str">
        <f aca="false">IF(ISBLANK(V37),"",V37*X37)</f>
        <v/>
      </c>
      <c r="Z37" s="108"/>
      <c r="AA37" s="103"/>
      <c r="AB37" s="113"/>
      <c r="AC37" s="36"/>
      <c r="AD37" s="108" t="str">
        <f aca="false">IF(ISBLANK(AA37),"",AA37*AC37)</f>
        <v/>
      </c>
      <c r="AE37" s="108"/>
      <c r="AF37" s="103"/>
      <c r="AG37" s="113"/>
      <c r="AH37" s="36"/>
      <c r="AI37" s="108" t="str">
        <f aca="false">IF(ISBLANK(AF37),"",AF37*AH37)</f>
        <v/>
      </c>
      <c r="AJ37" s="108"/>
      <c r="AK37" s="103"/>
      <c r="AL37" s="113"/>
      <c r="AM37" s="36"/>
      <c r="AN37" s="108" t="str">
        <f aca="false">IF(ISBLANK(AK37),"",AK37*AM37)</f>
        <v/>
      </c>
      <c r="AO37" s="108"/>
      <c r="AP37" s="103"/>
    </row>
    <row r="38" customFormat="false" ht="11.25" hidden="false" customHeight="true" outlineLevel="0" collapsed="false">
      <c r="A38" s="174" t="n">
        <f aca="false">IF(B38&gt;0,IF(C38&gt;0,MAX($A$5:A36)+1," ")," ")</f>
        <v>16</v>
      </c>
      <c r="B38" s="112" t="s">
        <v>332</v>
      </c>
      <c r="C38" s="113" t="n">
        <v>250</v>
      </c>
      <c r="D38" s="36" t="s">
        <v>272</v>
      </c>
      <c r="E38" s="108" t="n">
        <v>10</v>
      </c>
      <c r="F38" s="108" t="n">
        <f aca="false">IF(ISBLANK(C38),"",C38*E38)</f>
        <v>2500</v>
      </c>
      <c r="G38" s="103"/>
      <c r="H38" s="113" t="n">
        <v>250</v>
      </c>
      <c r="I38" s="36" t="s">
        <v>272</v>
      </c>
      <c r="J38" s="108" t="n">
        <v>10</v>
      </c>
      <c r="K38" s="108" t="n">
        <f aca="false">IF(ISBLANK(H38),"",H38*J38)</f>
        <v>2500</v>
      </c>
      <c r="L38" s="103"/>
      <c r="M38" s="113" t="n">
        <v>250</v>
      </c>
      <c r="N38" s="36" t="s">
        <v>272</v>
      </c>
      <c r="O38" s="108" t="n">
        <v>10</v>
      </c>
      <c r="P38" s="108" t="n">
        <f aca="false">IF(ISBLANK(M38),"",M38*O38)</f>
        <v>2500</v>
      </c>
      <c r="Q38" s="103"/>
      <c r="R38" s="113" t="n">
        <v>250</v>
      </c>
      <c r="S38" s="36" t="s">
        <v>272</v>
      </c>
      <c r="T38" s="108" t="n">
        <v>10</v>
      </c>
      <c r="U38" s="108" t="n">
        <f aca="false">IF(ISBLANK(R38),"",R38*T38)</f>
        <v>2500</v>
      </c>
      <c r="V38" s="103"/>
      <c r="W38" s="113"/>
      <c r="X38" s="36" t="s">
        <v>272</v>
      </c>
      <c r="Y38" s="108" t="str">
        <f aca="false">IF(ISBLANK(V38),"",V38*X38)</f>
        <v/>
      </c>
      <c r="Z38" s="108"/>
      <c r="AA38" s="103"/>
      <c r="AB38" s="113"/>
      <c r="AC38" s="36" t="s">
        <v>272</v>
      </c>
      <c r="AD38" s="108" t="str">
        <f aca="false">IF(ISBLANK(AA38),"",AA38*AC38)</f>
        <v/>
      </c>
      <c r="AE38" s="108"/>
      <c r="AF38" s="103"/>
      <c r="AG38" s="113"/>
      <c r="AH38" s="36" t="s">
        <v>272</v>
      </c>
      <c r="AI38" s="108" t="str">
        <f aca="false">IF(ISBLANK(AF38),"",AF38*AH38)</f>
        <v/>
      </c>
      <c r="AJ38" s="108"/>
      <c r="AK38" s="103"/>
      <c r="AL38" s="113"/>
      <c r="AM38" s="36" t="s">
        <v>272</v>
      </c>
      <c r="AN38" s="108" t="str">
        <f aca="false">IF(ISBLANK(AK38),"",AK38*AM38)</f>
        <v/>
      </c>
      <c r="AO38" s="108"/>
      <c r="AP38" s="103"/>
    </row>
    <row r="39" customFormat="false" ht="11.25" hidden="false" customHeight="true" outlineLevel="0" collapsed="false">
      <c r="A39" s="109"/>
      <c r="B39" s="112"/>
      <c r="C39" s="113"/>
      <c r="D39" s="36"/>
      <c r="E39" s="108"/>
      <c r="F39" s="108"/>
      <c r="G39" s="103"/>
      <c r="H39" s="113"/>
      <c r="I39" s="36"/>
      <c r="J39" s="108"/>
      <c r="K39" s="108"/>
      <c r="L39" s="103"/>
      <c r="M39" s="113"/>
      <c r="N39" s="36"/>
      <c r="O39" s="108"/>
      <c r="P39" s="108"/>
      <c r="Q39" s="103"/>
      <c r="R39" s="113"/>
      <c r="S39" s="36"/>
      <c r="T39" s="108"/>
      <c r="U39" s="108"/>
      <c r="V39" s="103"/>
      <c r="W39" s="113"/>
      <c r="X39" s="36"/>
      <c r="Y39" s="108" t="str">
        <f aca="false">IF(ISBLANK(V39),"",V39*X39)</f>
        <v/>
      </c>
      <c r="Z39" s="108"/>
      <c r="AA39" s="103"/>
      <c r="AB39" s="113"/>
      <c r="AC39" s="36"/>
      <c r="AD39" s="108" t="str">
        <f aca="false">IF(ISBLANK(AA39),"",AA39*AC39)</f>
        <v/>
      </c>
      <c r="AE39" s="108"/>
      <c r="AF39" s="103"/>
      <c r="AG39" s="113"/>
      <c r="AH39" s="36"/>
      <c r="AI39" s="108" t="str">
        <f aca="false">IF(ISBLANK(AF39),"",AF39*AH39)</f>
        <v/>
      </c>
      <c r="AJ39" s="108"/>
      <c r="AK39" s="103"/>
      <c r="AL39" s="113"/>
      <c r="AM39" s="36"/>
      <c r="AN39" s="108" t="str">
        <f aca="false">IF(ISBLANK(AK39),"",AK39*AM39)</f>
        <v/>
      </c>
      <c r="AO39" s="108"/>
      <c r="AP39" s="103"/>
    </row>
    <row r="40" customFormat="false" ht="11.25" hidden="false" customHeight="true" outlineLevel="0" collapsed="false">
      <c r="A40" s="174" t="n">
        <f aca="false">IF(B40&gt;0,IF(C40&gt;0,MAX($A$5:A38)+1," ")," ")</f>
        <v>17</v>
      </c>
      <c r="B40" s="112" t="s">
        <v>333</v>
      </c>
      <c r="C40" s="113" t="n">
        <v>250</v>
      </c>
      <c r="D40" s="36" t="s">
        <v>272</v>
      </c>
      <c r="E40" s="108" t="n">
        <v>10</v>
      </c>
      <c r="F40" s="108" t="n">
        <f aca="false">IF(ISBLANK(C40),"",C40*E40)</f>
        <v>2500</v>
      </c>
      <c r="G40" s="103"/>
      <c r="H40" s="113" t="n">
        <v>250</v>
      </c>
      <c r="I40" s="36" t="s">
        <v>272</v>
      </c>
      <c r="J40" s="108" t="n">
        <v>10</v>
      </c>
      <c r="K40" s="108" t="n">
        <f aca="false">IF(ISBLANK(H40),"",H40*J40)</f>
        <v>2500</v>
      </c>
      <c r="L40" s="103"/>
      <c r="M40" s="113" t="n">
        <v>250</v>
      </c>
      <c r="N40" s="36" t="s">
        <v>272</v>
      </c>
      <c r="O40" s="108" t="n">
        <v>10</v>
      </c>
      <c r="P40" s="108" t="n">
        <f aca="false">IF(ISBLANK(M40),"",M40*O40)</f>
        <v>2500</v>
      </c>
      <c r="Q40" s="103"/>
      <c r="R40" s="113" t="n">
        <v>250</v>
      </c>
      <c r="S40" s="36" t="s">
        <v>272</v>
      </c>
      <c r="T40" s="108" t="n">
        <v>10</v>
      </c>
      <c r="U40" s="108" t="n">
        <f aca="false">IF(ISBLANK(R40),"",R40*T40)</f>
        <v>2500</v>
      </c>
      <c r="V40" s="103"/>
      <c r="W40" s="113"/>
      <c r="X40" s="36" t="s">
        <v>272</v>
      </c>
      <c r="Y40" s="108" t="str">
        <f aca="false">IF(ISBLANK(V40),"",V40*X40)</f>
        <v/>
      </c>
      <c r="Z40" s="108"/>
      <c r="AA40" s="103"/>
      <c r="AB40" s="113"/>
      <c r="AC40" s="36" t="s">
        <v>272</v>
      </c>
      <c r="AD40" s="108" t="str">
        <f aca="false">IF(ISBLANK(AA40),"",AA40*AC40)</f>
        <v/>
      </c>
      <c r="AE40" s="108"/>
      <c r="AF40" s="103"/>
      <c r="AG40" s="113"/>
      <c r="AH40" s="36" t="s">
        <v>272</v>
      </c>
      <c r="AI40" s="108" t="str">
        <f aca="false">IF(ISBLANK(AF40),"",AF40*AH40)</f>
        <v/>
      </c>
      <c r="AJ40" s="108"/>
      <c r="AK40" s="103"/>
      <c r="AL40" s="113"/>
      <c r="AM40" s="36" t="s">
        <v>272</v>
      </c>
      <c r="AN40" s="108" t="str">
        <f aca="false">IF(ISBLANK(AK40),"",AK40*AM40)</f>
        <v/>
      </c>
      <c r="AO40" s="108"/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112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 t="str">
        <f aca="false">IF(ISBLANK(V41),"",V41*X41)</f>
        <v/>
      </c>
      <c r="Z41" s="108"/>
      <c r="AA41" s="103"/>
      <c r="AB41" s="113"/>
      <c r="AC41" s="36"/>
      <c r="AD41" s="108" t="str">
        <f aca="false">IF(ISBLANK(AA41),"",AA41*AC41)</f>
        <v/>
      </c>
      <c r="AE41" s="108"/>
      <c r="AF41" s="103"/>
      <c r="AG41" s="113"/>
      <c r="AH41" s="36"/>
      <c r="AI41" s="108" t="str">
        <f aca="false">IF(ISBLANK(AF41),"",AF41*AH41)</f>
        <v/>
      </c>
      <c r="AJ41" s="108"/>
      <c r="AK41" s="103"/>
      <c r="AL41" s="113"/>
      <c r="AM41" s="36"/>
      <c r="AN41" s="108" t="str">
        <f aca="false">IF(ISBLANK(AK41),"",AK41*AM41)</f>
        <v/>
      </c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112" t="s">
        <v>334</v>
      </c>
      <c r="C42" s="113" t="n">
        <v>250</v>
      </c>
      <c r="D42" s="36" t="s">
        <v>272</v>
      </c>
      <c r="E42" s="108" t="n">
        <v>10</v>
      </c>
      <c r="F42" s="108" t="n">
        <f aca="false">IF(ISBLANK(C42),"",C42*E42)</f>
        <v>2500</v>
      </c>
      <c r="G42" s="103"/>
      <c r="H42" s="113" t="n">
        <v>250</v>
      </c>
      <c r="I42" s="36" t="s">
        <v>272</v>
      </c>
      <c r="J42" s="108" t="n">
        <v>10</v>
      </c>
      <c r="K42" s="108" t="n">
        <f aca="false">IF(ISBLANK(H42),"",H42*J42)</f>
        <v>2500</v>
      </c>
      <c r="L42" s="103"/>
      <c r="M42" s="113" t="n">
        <v>250</v>
      </c>
      <c r="N42" s="36" t="s">
        <v>272</v>
      </c>
      <c r="O42" s="108" t="n">
        <v>10</v>
      </c>
      <c r="P42" s="108" t="n">
        <f aca="false">IF(ISBLANK(M42),"",M42*O42)</f>
        <v>2500</v>
      </c>
      <c r="Q42" s="103"/>
      <c r="R42" s="113" t="n">
        <v>250</v>
      </c>
      <c r="S42" s="36" t="s">
        <v>272</v>
      </c>
      <c r="T42" s="108" t="n">
        <v>10</v>
      </c>
      <c r="U42" s="108" t="n">
        <f aca="false">IF(ISBLANK(R42),"",R42*T42)</f>
        <v>2500</v>
      </c>
      <c r="V42" s="103"/>
      <c r="W42" s="113"/>
      <c r="X42" s="36" t="s">
        <v>272</v>
      </c>
      <c r="Y42" s="108" t="str">
        <f aca="false">IF(ISBLANK(V42),"",V42*X42)</f>
        <v/>
      </c>
      <c r="Z42" s="108"/>
      <c r="AA42" s="103"/>
      <c r="AB42" s="113"/>
      <c r="AC42" s="36" t="s">
        <v>272</v>
      </c>
      <c r="AD42" s="108" t="str">
        <f aca="false">IF(ISBLANK(AA42),"",AA42*AC42)</f>
        <v/>
      </c>
      <c r="AE42" s="108"/>
      <c r="AF42" s="103"/>
      <c r="AG42" s="113"/>
      <c r="AH42" s="36" t="s">
        <v>272</v>
      </c>
      <c r="AI42" s="108" t="str">
        <f aca="false">IF(ISBLANK(AF42),"",AF42*AH42)</f>
        <v/>
      </c>
      <c r="AJ42" s="108"/>
      <c r="AK42" s="103"/>
      <c r="AL42" s="113"/>
      <c r="AM42" s="36" t="s">
        <v>272</v>
      </c>
      <c r="AN42" s="108" t="str">
        <f aca="false">IF(ISBLANK(AK42),"",AK42*AM42)</f>
        <v/>
      </c>
      <c r="AO42" s="108"/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112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 t="str">
        <f aca="false">IF(ISBLANK(V43),"",V43*X43)</f>
        <v/>
      </c>
      <c r="Z43" s="108"/>
      <c r="AA43" s="103"/>
      <c r="AB43" s="113"/>
      <c r="AC43" s="36"/>
      <c r="AD43" s="108" t="str">
        <f aca="false">IF(ISBLANK(AA43),"",AA43*AC43)</f>
        <v/>
      </c>
      <c r="AE43" s="108"/>
      <c r="AF43" s="103"/>
      <c r="AG43" s="113"/>
      <c r="AH43" s="36"/>
      <c r="AI43" s="108" t="str">
        <f aca="false">IF(ISBLANK(AF43),"",AF43*AH43)</f>
        <v/>
      </c>
      <c r="AJ43" s="108"/>
      <c r="AK43" s="103"/>
      <c r="AL43" s="113"/>
      <c r="AM43" s="36"/>
      <c r="AN43" s="108" t="str">
        <f aca="false">IF(ISBLANK(AK43),"",AK43*AM43)</f>
        <v/>
      </c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112" t="s">
        <v>335</v>
      </c>
      <c r="C44" s="113" t="n">
        <v>250</v>
      </c>
      <c r="D44" s="36" t="s">
        <v>272</v>
      </c>
      <c r="E44" s="108" t="n">
        <v>10</v>
      </c>
      <c r="F44" s="108" t="n">
        <f aca="false">IF(ISBLANK(C44),"",C44*E44)</f>
        <v>2500</v>
      </c>
      <c r="G44" s="103"/>
      <c r="H44" s="113" t="n">
        <v>250</v>
      </c>
      <c r="I44" s="36" t="s">
        <v>272</v>
      </c>
      <c r="J44" s="108" t="n">
        <v>10</v>
      </c>
      <c r="K44" s="108" t="n">
        <f aca="false">IF(ISBLANK(H44),"",H44*J44)</f>
        <v>2500</v>
      </c>
      <c r="L44" s="103"/>
      <c r="M44" s="113" t="n">
        <v>250</v>
      </c>
      <c r="N44" s="36" t="s">
        <v>272</v>
      </c>
      <c r="O44" s="108" t="n">
        <v>10</v>
      </c>
      <c r="P44" s="108" t="n">
        <f aca="false">IF(ISBLANK(M44),"",M44*O44)</f>
        <v>2500</v>
      </c>
      <c r="Q44" s="103"/>
      <c r="R44" s="113" t="n">
        <v>250</v>
      </c>
      <c r="S44" s="36" t="s">
        <v>272</v>
      </c>
      <c r="T44" s="108" t="n">
        <v>10</v>
      </c>
      <c r="U44" s="108" t="n">
        <f aca="false">IF(ISBLANK(R44),"",R44*T44)</f>
        <v>2500</v>
      </c>
      <c r="V44" s="103"/>
      <c r="W44" s="113"/>
      <c r="X44" s="36" t="s">
        <v>272</v>
      </c>
      <c r="Y44" s="108" t="str">
        <f aca="false">IF(ISBLANK(V44),"",V44*X44)</f>
        <v/>
      </c>
      <c r="Z44" s="108"/>
      <c r="AA44" s="103"/>
      <c r="AB44" s="113"/>
      <c r="AC44" s="36" t="s">
        <v>272</v>
      </c>
      <c r="AD44" s="108" t="str">
        <f aca="false">IF(ISBLANK(AA44),"",AA44*AC44)</f>
        <v/>
      </c>
      <c r="AE44" s="108"/>
      <c r="AF44" s="103"/>
      <c r="AG44" s="113"/>
      <c r="AH44" s="36" t="s">
        <v>272</v>
      </c>
      <c r="AI44" s="108" t="str">
        <f aca="false">IF(ISBLANK(AF44),"",AF44*AH44)</f>
        <v/>
      </c>
      <c r="AJ44" s="108"/>
      <c r="AK44" s="103"/>
      <c r="AL44" s="113"/>
      <c r="AM44" s="36" t="s">
        <v>272</v>
      </c>
      <c r="AN44" s="108" t="str">
        <f aca="false">IF(ISBLANK(AK44),"",AK44*AM44)</f>
        <v/>
      </c>
      <c r="AO44" s="108"/>
      <c r="AP44" s="103"/>
    </row>
    <row r="45" customFormat="false" ht="11.25" hidden="false" customHeight="true" outlineLevel="0" collapsed="false">
      <c r="A45" s="109"/>
      <c r="B45" s="112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 t="str">
        <f aca="false">IF(ISBLANK(V45),"",V45*X45)</f>
        <v/>
      </c>
      <c r="Z45" s="108"/>
      <c r="AA45" s="103"/>
      <c r="AB45" s="113"/>
      <c r="AC45" s="36"/>
      <c r="AD45" s="108" t="str">
        <f aca="false">IF(ISBLANK(AA45),"",AA45*AC45)</f>
        <v/>
      </c>
      <c r="AE45" s="108"/>
      <c r="AF45" s="103"/>
      <c r="AG45" s="113"/>
      <c r="AH45" s="36"/>
      <c r="AI45" s="108" t="str">
        <f aca="false">IF(ISBLANK(AF45),"",AF45*AH45)</f>
        <v/>
      </c>
      <c r="AJ45" s="108"/>
      <c r="AK45" s="103"/>
      <c r="AL45" s="113"/>
      <c r="AM45" s="36"/>
      <c r="AN45" s="108" t="str">
        <f aca="false">IF(ISBLANK(AK45),"",AK45*AM45)</f>
        <v/>
      </c>
      <c r="AO45" s="108"/>
      <c r="AP45" s="103"/>
    </row>
    <row r="46" customFormat="false" ht="11.25" hidden="false" customHeight="true" outlineLevel="0" collapsed="false">
      <c r="A46" s="174" t="n">
        <f aca="false">IF(B46&gt;0,IF(C46&gt;0,MAX($A$5:A44)+1," ")," ")</f>
        <v>20</v>
      </c>
      <c r="B46" s="112" t="s">
        <v>336</v>
      </c>
      <c r="C46" s="113" t="n">
        <v>250</v>
      </c>
      <c r="D46" s="36" t="s">
        <v>272</v>
      </c>
      <c r="E46" s="108" t="n">
        <v>10</v>
      </c>
      <c r="F46" s="108" t="n">
        <f aca="false">IF(ISBLANK(C46),"",C46*E46)</f>
        <v>2500</v>
      </c>
      <c r="G46" s="103"/>
      <c r="H46" s="113" t="n">
        <v>250</v>
      </c>
      <c r="I46" s="36" t="s">
        <v>272</v>
      </c>
      <c r="J46" s="108" t="n">
        <v>10</v>
      </c>
      <c r="K46" s="108" t="n">
        <f aca="false">IF(ISBLANK(H46),"",H46*J46)</f>
        <v>2500</v>
      </c>
      <c r="L46" s="103"/>
      <c r="M46" s="113" t="n">
        <v>250</v>
      </c>
      <c r="N46" s="36" t="s">
        <v>272</v>
      </c>
      <c r="O46" s="108" t="n">
        <v>10</v>
      </c>
      <c r="P46" s="108" t="n">
        <f aca="false">IF(ISBLANK(M46),"",M46*O46)</f>
        <v>2500</v>
      </c>
      <c r="Q46" s="103"/>
      <c r="R46" s="113" t="n">
        <v>250</v>
      </c>
      <c r="S46" s="36" t="s">
        <v>272</v>
      </c>
      <c r="T46" s="108" t="n">
        <v>10</v>
      </c>
      <c r="U46" s="108" t="n">
        <f aca="false">IF(ISBLANK(R46),"",R46*T46)</f>
        <v>2500</v>
      </c>
      <c r="V46" s="103"/>
      <c r="W46" s="113"/>
      <c r="X46" s="36" t="s">
        <v>272</v>
      </c>
      <c r="Y46" s="108" t="str">
        <f aca="false">IF(ISBLANK(V46),"",V46*X46)</f>
        <v/>
      </c>
      <c r="Z46" s="108"/>
      <c r="AA46" s="103"/>
      <c r="AB46" s="113"/>
      <c r="AC46" s="36" t="s">
        <v>272</v>
      </c>
      <c r="AD46" s="108" t="str">
        <f aca="false">IF(ISBLANK(AA46),"",AA46*AC46)</f>
        <v/>
      </c>
      <c r="AE46" s="108"/>
      <c r="AF46" s="103"/>
      <c r="AG46" s="113"/>
      <c r="AH46" s="36" t="s">
        <v>272</v>
      </c>
      <c r="AI46" s="108" t="str">
        <f aca="false">IF(ISBLANK(AF46),"",AF46*AH46)</f>
        <v/>
      </c>
      <c r="AJ46" s="108"/>
      <c r="AK46" s="103"/>
      <c r="AL46" s="113"/>
      <c r="AM46" s="36" t="s">
        <v>272</v>
      </c>
      <c r="AN46" s="108" t="str">
        <f aca="false">IF(ISBLANK(AK46),"",AK46*AM46)</f>
        <v/>
      </c>
      <c r="AO46" s="108"/>
      <c r="AP46" s="103"/>
    </row>
    <row r="47" customFormat="false" ht="11.25" hidden="false" customHeight="true" outlineLevel="0" collapsed="false">
      <c r="A47" s="174" t="str">
        <f aca="false">IF(B47&gt;0,IF(C47&gt;0,MAX($A$5:A46)+1," ")," ")</f>
        <v> </v>
      </c>
      <c r="B47" s="114"/>
      <c r="C47" s="115"/>
      <c r="D47" s="36"/>
      <c r="E47" s="108"/>
      <c r="F47" s="108" t="str">
        <f aca="false">IF(ISBLANK(C47),"",C47*E47)</f>
        <v/>
      </c>
      <c r="G47" s="103"/>
      <c r="H47" s="115"/>
      <c r="I47" s="36"/>
      <c r="J47" s="108"/>
      <c r="K47" s="108" t="str">
        <f aca="false">IF(ISBLANK(H47),"",H47*J47)</f>
        <v/>
      </c>
      <c r="L47" s="103"/>
      <c r="M47" s="115"/>
      <c r="N47" s="36"/>
      <c r="O47" s="108"/>
      <c r="P47" s="108" t="str">
        <f aca="false">IF(ISBLANK(M47),"",M47*O47)</f>
        <v/>
      </c>
      <c r="Q47" s="103"/>
      <c r="R47" s="115"/>
      <c r="S47" s="36"/>
      <c r="T47" s="108"/>
      <c r="U47" s="108" t="str">
        <f aca="false">IF(ISBLANK(R47),"",R47*T47)</f>
        <v/>
      </c>
      <c r="V47" s="103"/>
      <c r="W47" s="115"/>
      <c r="X47" s="36"/>
      <c r="Y47" s="108"/>
      <c r="Z47" s="108" t="str">
        <f aca="false">IF(ISBLANK(W47),"",W47*Y47)</f>
        <v/>
      </c>
      <c r="AA47" s="103"/>
      <c r="AB47" s="115"/>
      <c r="AC47" s="36"/>
      <c r="AD47" s="108"/>
      <c r="AE47" s="108" t="str">
        <f aca="false">IF(ISBLANK(AB47),"",AB47*AD47)</f>
        <v/>
      </c>
      <c r="AF47" s="103"/>
      <c r="AG47" s="115"/>
      <c r="AH47" s="36"/>
      <c r="AI47" s="108"/>
      <c r="AJ47" s="108" t="str">
        <f aca="false">IF(ISBLANK(AG47),"",AG47*AI47)</f>
        <v/>
      </c>
      <c r="AK47" s="103"/>
      <c r="AL47" s="115"/>
      <c r="AM47" s="36"/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IF(B53&gt;0,IF(C53&gt;0,MAX($A$3:A47)+1,"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50000</v>
      </c>
      <c r="G54" s="103"/>
      <c r="H54" s="98"/>
      <c r="I54" s="98"/>
      <c r="J54" s="117" t="s">
        <v>177</v>
      </c>
      <c r="K54" s="117" t="n">
        <f aca="false">SUM(K5:K53)</f>
        <v>50000</v>
      </c>
      <c r="L54" s="103"/>
      <c r="M54" s="98"/>
      <c r="N54" s="98"/>
      <c r="O54" s="117" t="s">
        <v>177</v>
      </c>
      <c r="P54" s="117" t="n">
        <f aca="false">SUM(P5:P53)</f>
        <v>50000</v>
      </c>
      <c r="Q54" s="103"/>
      <c r="R54" s="98"/>
      <c r="S54" s="98"/>
      <c r="T54" s="117" t="s">
        <v>177</v>
      </c>
      <c r="U54" s="117" t="n">
        <f aca="false">SUM(U5:U53)</f>
        <v>50000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F58" activeCellId="0" sqref="F58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2.6 Windows &amp; external Doors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2.6 Windows &amp; external Doors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112" t="s">
        <v>337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500</v>
      </c>
      <c r="K8" s="108" t="n">
        <f aca="false">IF(ISBLANK(H8),"",H8*J8)</f>
        <v>500</v>
      </c>
      <c r="L8" s="103"/>
      <c r="M8" s="113" t="n">
        <v>1</v>
      </c>
      <c r="N8" s="36" t="s">
        <v>209</v>
      </c>
      <c r="O8" s="108" t="n">
        <v>500</v>
      </c>
      <c r="P8" s="108" t="n">
        <f aca="false">IF(ISBLANK(M8),"",M8*O8)</f>
        <v>500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09"/>
      <c r="B9" s="112"/>
      <c r="C9" s="113"/>
      <c r="D9" s="36"/>
      <c r="E9" s="108"/>
      <c r="F9" s="108" t="str">
        <f aca="false">IF(ISBLANK(C9),"",C9*E9)</f>
        <v/>
      </c>
      <c r="G9" s="103"/>
      <c r="H9" s="113"/>
      <c r="I9" s="36"/>
      <c r="J9" s="108"/>
      <c r="K9" s="108" t="str">
        <f aca="false">IF(ISBLANK(H9),"",H9*J9)</f>
        <v/>
      </c>
      <c r="L9" s="103"/>
      <c r="M9" s="113"/>
      <c r="N9" s="36"/>
      <c r="O9" s="108"/>
      <c r="P9" s="108" t="str">
        <f aca="false">IF(ISBLANK(M9),"",M9*O9)</f>
        <v/>
      </c>
      <c r="Q9" s="103"/>
      <c r="R9" s="113"/>
      <c r="S9" s="36"/>
      <c r="T9" s="108"/>
      <c r="U9" s="108" t="str">
        <f aca="false">IF(ISBLANK(R9),"",R9*T9)</f>
        <v/>
      </c>
      <c r="V9" s="103"/>
      <c r="W9" s="113"/>
      <c r="X9" s="36"/>
      <c r="Y9" s="108"/>
      <c r="Z9" s="108" t="str">
        <f aca="false">IF(ISBLANK(W9),"",W9*Y9)</f>
        <v/>
      </c>
      <c r="AA9" s="103"/>
      <c r="AB9" s="113"/>
      <c r="AC9" s="36"/>
      <c r="AD9" s="108"/>
      <c r="AE9" s="108" t="str">
        <f aca="false">IF(ISBLANK(AB9),"",AB9*AD9)</f>
        <v/>
      </c>
      <c r="AF9" s="103"/>
      <c r="AG9" s="113"/>
      <c r="AH9" s="36"/>
      <c r="AI9" s="108"/>
      <c r="AJ9" s="108" t="str">
        <f aca="false">IF(ISBLANK(AG9),"",AG9*AI9)</f>
        <v/>
      </c>
      <c r="AK9" s="103"/>
      <c r="AL9" s="113"/>
      <c r="AM9" s="36"/>
      <c r="AN9" s="108"/>
      <c r="AO9" s="108" t="str">
        <f aca="false">IF(ISBLANK(AL9),"",AL9*AN9)</f>
        <v/>
      </c>
      <c r="AP9" s="103"/>
    </row>
    <row r="10" customFormat="false" ht="22.5" hidden="false" customHeight="true" outlineLevel="0" collapsed="false">
      <c r="A10" s="174" t="n">
        <f aca="false">IF(B10&gt;0,IF(C10&gt;0,MAX($A$5:A9)+1," ")," ")</f>
        <v>2</v>
      </c>
      <c r="B10" s="112" t="s">
        <v>338</v>
      </c>
      <c r="C10" s="113" t="n">
        <v>10</v>
      </c>
      <c r="D10" s="36" t="s">
        <v>118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118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118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118</v>
      </c>
      <c r="T10" s="108" t="n">
        <v>100</v>
      </c>
      <c r="U10" s="108" t="n">
        <f aca="false">IF(ISBLANK(R10),"",R10*T10)</f>
        <v>1000</v>
      </c>
      <c r="V10" s="103"/>
      <c r="W10" s="113"/>
      <c r="X10" s="36" t="s">
        <v>118</v>
      </c>
      <c r="Y10" s="108"/>
      <c r="Z10" s="108" t="str">
        <f aca="false">IF(ISBLANK(W10),"",W10*Y10)</f>
        <v/>
      </c>
      <c r="AA10" s="103"/>
      <c r="AB10" s="113"/>
      <c r="AC10" s="36" t="s">
        <v>118</v>
      </c>
      <c r="AD10" s="108"/>
      <c r="AE10" s="108" t="str">
        <f aca="false">IF(ISBLANK(AB10),"",AB10*AD10)</f>
        <v/>
      </c>
      <c r="AF10" s="103"/>
      <c r="AG10" s="113"/>
      <c r="AH10" s="36" t="s">
        <v>118</v>
      </c>
      <c r="AI10" s="108"/>
      <c r="AJ10" s="108" t="str">
        <f aca="false">IF(ISBLANK(AG10),"",AG10*AI10)</f>
        <v/>
      </c>
      <c r="AK10" s="103"/>
      <c r="AL10" s="113"/>
      <c r="AM10" s="36" t="s">
        <v>118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112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22.5" hidden="false" customHeight="true" outlineLevel="0" collapsed="false">
      <c r="A12" s="174" t="n">
        <f aca="false">IF(B12&gt;0,IF(C12&gt;0,MAX($A$5:A11)+1," ")," ")</f>
        <v>3</v>
      </c>
      <c r="B12" s="112" t="s">
        <v>339</v>
      </c>
      <c r="C12" s="113" t="n">
        <v>10</v>
      </c>
      <c r="D12" s="36" t="s">
        <v>118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118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118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118</v>
      </c>
      <c r="T12" s="108" t="n">
        <v>100</v>
      </c>
      <c r="U12" s="108" t="n">
        <f aca="false">IF(ISBLANK(R12),"",R12*T12)</f>
        <v>1000</v>
      </c>
      <c r="V12" s="103"/>
      <c r="W12" s="113"/>
      <c r="X12" s="36" t="s">
        <v>118</v>
      </c>
      <c r="Y12" s="108"/>
      <c r="Z12" s="108" t="str">
        <f aca="false">IF(ISBLANK(W12),"",W12*Y12)</f>
        <v/>
      </c>
      <c r="AA12" s="103"/>
      <c r="AB12" s="113"/>
      <c r="AC12" s="36" t="s">
        <v>118</v>
      </c>
      <c r="AD12" s="108"/>
      <c r="AE12" s="108" t="str">
        <f aca="false">IF(ISBLANK(AB12),"",AB12*AD12)</f>
        <v/>
      </c>
      <c r="AF12" s="103"/>
      <c r="AG12" s="113"/>
      <c r="AH12" s="36" t="s">
        <v>118</v>
      </c>
      <c r="AI12" s="108"/>
      <c r="AJ12" s="108" t="str">
        <f aca="false">IF(ISBLANK(AG12),"",AG12*AI12)</f>
        <v/>
      </c>
      <c r="AK12" s="103"/>
      <c r="AL12" s="113"/>
      <c r="AM12" s="36" t="s">
        <v>118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112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22.5" hidden="false" customHeight="true" outlineLevel="0" collapsed="false">
      <c r="A14" s="174" t="n">
        <f aca="false">IF(B14&gt;0,IF(C14&gt;0,MAX($A$5:A13)+1," ")," ")</f>
        <v>4</v>
      </c>
      <c r="B14" s="112" t="s">
        <v>340</v>
      </c>
      <c r="C14" s="113" t="n">
        <v>10</v>
      </c>
      <c r="D14" s="36" t="s">
        <v>118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118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118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118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118</v>
      </c>
      <c r="Y14" s="108"/>
      <c r="Z14" s="108" t="str">
        <f aca="false">IF(ISBLANK(W14),"",W14*Y14)</f>
        <v/>
      </c>
      <c r="AA14" s="103"/>
      <c r="AB14" s="113"/>
      <c r="AC14" s="36" t="s">
        <v>118</v>
      </c>
      <c r="AD14" s="108"/>
      <c r="AE14" s="108" t="str">
        <f aca="false">IF(ISBLANK(AB14),"",AB14*AD14)</f>
        <v/>
      </c>
      <c r="AF14" s="103"/>
      <c r="AG14" s="113"/>
      <c r="AH14" s="36" t="s">
        <v>118</v>
      </c>
      <c r="AI14" s="108"/>
      <c r="AJ14" s="108" t="str">
        <f aca="false">IF(ISBLANK(AG14),"",AG14*AI14)</f>
        <v/>
      </c>
      <c r="AK14" s="103"/>
      <c r="AL14" s="113"/>
      <c r="AM14" s="36" t="s">
        <v>118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112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/>
      <c r="Y15" s="108"/>
      <c r="Z15" s="108"/>
      <c r="AA15" s="103"/>
      <c r="AB15" s="113"/>
      <c r="AC15" s="36"/>
      <c r="AD15" s="108"/>
      <c r="AE15" s="108"/>
      <c r="AF15" s="103"/>
      <c r="AG15" s="113"/>
      <c r="AH15" s="36"/>
      <c r="AI15" s="108"/>
      <c r="AJ15" s="108"/>
      <c r="AK15" s="103"/>
      <c r="AL15" s="113"/>
      <c r="AM15" s="36"/>
      <c r="AN15" s="108"/>
      <c r="AO15" s="108"/>
      <c r="AP15" s="103"/>
    </row>
    <row r="16" customFormat="false" ht="22.5" hidden="false" customHeight="true" outlineLevel="0" collapsed="false">
      <c r="A16" s="174" t="n">
        <f aca="false">IF(B16&gt;0,IF(C16&gt;0,MAX($A$5:A15)+1," ")," ")</f>
        <v>5</v>
      </c>
      <c r="B16" s="112" t="s">
        <v>341</v>
      </c>
      <c r="C16" s="113" t="n">
        <v>10</v>
      </c>
      <c r="D16" s="36" t="s">
        <v>118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118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118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118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118</v>
      </c>
      <c r="Y16" s="108"/>
      <c r="Z16" s="108" t="str">
        <f aca="false">IF(ISBLANK(W16),"",W16*Y16)</f>
        <v/>
      </c>
      <c r="AA16" s="103"/>
      <c r="AB16" s="113"/>
      <c r="AC16" s="36" t="s">
        <v>118</v>
      </c>
      <c r="AD16" s="108"/>
      <c r="AE16" s="108" t="str">
        <f aca="false">IF(ISBLANK(AB16),"",AB16*AD16)</f>
        <v/>
      </c>
      <c r="AF16" s="103"/>
      <c r="AG16" s="113"/>
      <c r="AH16" s="36" t="s">
        <v>118</v>
      </c>
      <c r="AI16" s="108"/>
      <c r="AJ16" s="108" t="str">
        <f aca="false">IF(ISBLANK(AG16),"",AG16*AI16)</f>
        <v/>
      </c>
      <c r="AK16" s="103"/>
      <c r="AL16" s="113"/>
      <c r="AM16" s="36" t="s">
        <v>118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112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22.5" hidden="false" customHeight="true" outlineLevel="0" collapsed="false">
      <c r="A18" s="174" t="n">
        <f aca="false">IF(B18&gt;0,IF(C18&gt;0,MAX($A$5:A17)+1," ")," ")</f>
        <v>6</v>
      </c>
      <c r="B18" s="112" t="s">
        <v>342</v>
      </c>
      <c r="C18" s="113" t="n">
        <v>10</v>
      </c>
      <c r="D18" s="36" t="s">
        <v>118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118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118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118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118</v>
      </c>
      <c r="Y18" s="108"/>
      <c r="Z18" s="108" t="str">
        <f aca="false">IF(ISBLANK(W18),"",W18*Y18)</f>
        <v/>
      </c>
      <c r="AA18" s="103"/>
      <c r="AB18" s="113"/>
      <c r="AC18" s="36" t="s">
        <v>118</v>
      </c>
      <c r="AD18" s="108"/>
      <c r="AE18" s="108" t="str">
        <f aca="false">IF(ISBLANK(AB18),"",AB18*AD18)</f>
        <v/>
      </c>
      <c r="AF18" s="103"/>
      <c r="AG18" s="113"/>
      <c r="AH18" s="36" t="s">
        <v>118</v>
      </c>
      <c r="AI18" s="108"/>
      <c r="AJ18" s="108" t="str">
        <f aca="false">IF(ISBLANK(AG18),"",AG18*AI18)</f>
        <v/>
      </c>
      <c r="AK18" s="103"/>
      <c r="AL18" s="113"/>
      <c r="AM18" s="36" t="s">
        <v>118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112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22.5" hidden="false" customHeight="true" outlineLevel="0" collapsed="false">
      <c r="A20" s="174" t="n">
        <f aca="false">IF(B20&gt;0,IF(C20&gt;0,MAX($A$5:A19)+1," ")," ")</f>
        <v>7</v>
      </c>
      <c r="B20" s="112" t="s">
        <v>342</v>
      </c>
      <c r="C20" s="113" t="n">
        <v>10</v>
      </c>
      <c r="D20" s="36" t="s">
        <v>118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118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118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118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118</v>
      </c>
      <c r="Y20" s="108"/>
      <c r="Z20" s="108" t="str">
        <f aca="false">IF(ISBLANK(W20),"",W20*Y20)</f>
        <v/>
      </c>
      <c r="AA20" s="103"/>
      <c r="AB20" s="113"/>
      <c r="AC20" s="36" t="s">
        <v>118</v>
      </c>
      <c r="AD20" s="108"/>
      <c r="AE20" s="108" t="str">
        <f aca="false">IF(ISBLANK(AB20),"",AB20*AD20)</f>
        <v/>
      </c>
      <c r="AF20" s="103"/>
      <c r="AG20" s="113"/>
      <c r="AH20" s="36" t="s">
        <v>118</v>
      </c>
      <c r="AI20" s="108"/>
      <c r="AJ20" s="108" t="str">
        <f aca="false">IF(ISBLANK(AG20),"",AG20*AI20)</f>
        <v/>
      </c>
      <c r="AK20" s="103"/>
      <c r="AL20" s="113"/>
      <c r="AM20" s="36" t="s">
        <v>118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112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112" t="s">
        <v>343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112"/>
      <c r="C23" s="113"/>
      <c r="D23" s="36"/>
      <c r="E23" s="108"/>
      <c r="F23" s="108"/>
      <c r="G23" s="103"/>
      <c r="H23" s="113"/>
      <c r="I23" s="36"/>
      <c r="J23" s="108"/>
      <c r="K23" s="108"/>
      <c r="L23" s="103"/>
      <c r="M23" s="113"/>
      <c r="N23" s="36"/>
      <c r="O23" s="108"/>
      <c r="P23" s="108"/>
      <c r="Q23" s="103"/>
      <c r="R23" s="113"/>
      <c r="S23" s="36"/>
      <c r="T23" s="108"/>
      <c r="U23" s="108"/>
      <c r="V23" s="103"/>
      <c r="W23" s="113"/>
      <c r="X23" s="36"/>
      <c r="Y23" s="108"/>
      <c r="Z23" s="108"/>
      <c r="AA23" s="103"/>
      <c r="AB23" s="113"/>
      <c r="AC23" s="36"/>
      <c r="AD23" s="108"/>
      <c r="AE23" s="108"/>
      <c r="AF23" s="103"/>
      <c r="AG23" s="113"/>
      <c r="AH23" s="36"/>
      <c r="AI23" s="108"/>
      <c r="AJ23" s="108"/>
      <c r="AK23" s="103"/>
      <c r="AL23" s="113"/>
      <c r="AM23" s="36"/>
      <c r="AN23" s="108"/>
      <c r="AO23" s="108"/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112" t="s">
        <v>344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112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112" t="s">
        <v>345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112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112" t="s">
        <v>343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112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112" t="s">
        <v>346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112"/>
      <c r="C31" s="113"/>
      <c r="D31" s="36"/>
      <c r="E31" s="108"/>
      <c r="F31" s="108"/>
      <c r="G31" s="103"/>
      <c r="H31" s="113"/>
      <c r="I31" s="36"/>
      <c r="J31" s="108"/>
      <c r="K31" s="108"/>
      <c r="L31" s="103"/>
      <c r="M31" s="113"/>
      <c r="N31" s="36"/>
      <c r="O31" s="108"/>
      <c r="P31" s="108"/>
      <c r="Q31" s="103"/>
      <c r="R31" s="113"/>
      <c r="S31" s="36"/>
      <c r="T31" s="108"/>
      <c r="U31" s="108"/>
      <c r="V31" s="103"/>
      <c r="W31" s="113"/>
      <c r="X31" s="36"/>
      <c r="Y31" s="108"/>
      <c r="Z31" s="108"/>
      <c r="AA31" s="103"/>
      <c r="AB31" s="113"/>
      <c r="AC31" s="36"/>
      <c r="AD31" s="108"/>
      <c r="AE31" s="108"/>
      <c r="AF31" s="103"/>
      <c r="AG31" s="113"/>
      <c r="AH31" s="36"/>
      <c r="AI31" s="108"/>
      <c r="AJ31" s="108"/>
      <c r="AK31" s="103"/>
      <c r="AL31" s="113"/>
      <c r="AM31" s="36"/>
      <c r="AN31" s="108"/>
      <c r="AO31" s="108"/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112" t="s">
        <v>347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112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112" t="s">
        <v>348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112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112" t="s">
        <v>349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112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112" t="s">
        <v>350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112"/>
      <c r="C39" s="113"/>
      <c r="D39" s="36"/>
      <c r="E39" s="108"/>
      <c r="F39" s="108"/>
      <c r="G39" s="103"/>
      <c r="H39" s="113"/>
      <c r="I39" s="36"/>
      <c r="J39" s="108"/>
      <c r="K39" s="108"/>
      <c r="L39" s="103"/>
      <c r="M39" s="113"/>
      <c r="N39" s="36"/>
      <c r="O39" s="108"/>
      <c r="P39" s="108"/>
      <c r="Q39" s="103"/>
      <c r="R39" s="113"/>
      <c r="S39" s="36"/>
      <c r="T39" s="108"/>
      <c r="U39" s="108"/>
      <c r="V39" s="103"/>
      <c r="W39" s="113"/>
      <c r="X39" s="36"/>
      <c r="Y39" s="108"/>
      <c r="Z39" s="108"/>
      <c r="AA39" s="103"/>
      <c r="AB39" s="113"/>
      <c r="AC39" s="36"/>
      <c r="AD39" s="108"/>
      <c r="AE39" s="108"/>
      <c r="AF39" s="103"/>
      <c r="AG39" s="113"/>
      <c r="AH39" s="36"/>
      <c r="AI39" s="108"/>
      <c r="AJ39" s="108"/>
      <c r="AK39" s="103"/>
      <c r="AL39" s="113"/>
      <c r="AM39" s="36"/>
      <c r="AN39" s="108"/>
      <c r="AO39" s="108"/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112" t="s">
        <v>351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178"/>
      <c r="C41" s="113"/>
      <c r="D41" s="36"/>
      <c r="E41" s="108"/>
      <c r="F41" s="108" t="str">
        <f aca="false">IF(ISBLANK(C41),"",C41*E41)</f>
        <v/>
      </c>
      <c r="G41" s="103"/>
      <c r="H41" s="113"/>
      <c r="I41" s="36"/>
      <c r="J41" s="108"/>
      <c r="K41" s="108" t="str">
        <f aca="false">IF(ISBLANK(H41),"",H41*J41)</f>
        <v/>
      </c>
      <c r="L41" s="103"/>
      <c r="M41" s="113"/>
      <c r="N41" s="36"/>
      <c r="O41" s="108"/>
      <c r="P41" s="108" t="str">
        <f aca="false">IF(ISBLANK(M41),"",M41*O41)</f>
        <v/>
      </c>
      <c r="Q41" s="103"/>
      <c r="R41" s="113"/>
      <c r="S41" s="36"/>
      <c r="T41" s="108"/>
      <c r="U41" s="108" t="str">
        <f aca="false">IF(ISBLANK(R41),"",R41*T41)</f>
        <v/>
      </c>
      <c r="V41" s="103"/>
      <c r="W41" s="113"/>
      <c r="X41" s="36"/>
      <c r="Y41" s="108"/>
      <c r="Z41" s="108" t="str">
        <f aca="false">IF(ISBLANK(W41),"",W41*Y41)</f>
        <v/>
      </c>
      <c r="AA41" s="103"/>
      <c r="AB41" s="113"/>
      <c r="AC41" s="36"/>
      <c r="AD41" s="108"/>
      <c r="AE41" s="108" t="str">
        <f aca="false">IF(ISBLANK(AB41),"",AB41*AD41)</f>
        <v/>
      </c>
      <c r="AF41" s="103"/>
      <c r="AG41" s="113"/>
      <c r="AH41" s="36"/>
      <c r="AI41" s="108"/>
      <c r="AJ41" s="108" t="str">
        <f aca="false">IF(ISBLANK(AG41),"",AG41*AI41)</f>
        <v/>
      </c>
      <c r="AK41" s="103"/>
      <c r="AL41" s="113"/>
      <c r="AM41" s="36"/>
      <c r="AN41" s="108"/>
      <c r="AO41" s="108" t="str">
        <f aca="false">IF(ISBLANK(AL41),"",AL41*AN41)</f>
        <v/>
      </c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112" t="s">
        <v>352</v>
      </c>
      <c r="C42" s="113" t="n">
        <v>10</v>
      </c>
      <c r="D42" s="36" t="s">
        <v>118</v>
      </c>
      <c r="E42" s="108" t="n">
        <v>55</v>
      </c>
      <c r="F42" s="108" t="n">
        <f aca="false">IF(ISBLANK(C42),"",C42*E42)</f>
        <v>550</v>
      </c>
      <c r="G42" s="103"/>
      <c r="H42" s="113" t="n">
        <v>10</v>
      </c>
      <c r="I42" s="36" t="s">
        <v>118</v>
      </c>
      <c r="J42" s="108" t="n">
        <v>55</v>
      </c>
      <c r="K42" s="108" t="n">
        <f aca="false">IF(ISBLANK(H42),"",H42*J42)</f>
        <v>550</v>
      </c>
      <c r="L42" s="103"/>
      <c r="M42" s="113" t="n">
        <v>10</v>
      </c>
      <c r="N42" s="36" t="s">
        <v>118</v>
      </c>
      <c r="O42" s="108" t="n">
        <v>55</v>
      </c>
      <c r="P42" s="108" t="n">
        <f aca="false">IF(ISBLANK(M42),"",M42*O42)</f>
        <v>550</v>
      </c>
      <c r="Q42" s="103"/>
      <c r="R42" s="113" t="n">
        <v>10</v>
      </c>
      <c r="S42" s="36" t="s">
        <v>118</v>
      </c>
      <c r="T42" s="108" t="n">
        <v>55</v>
      </c>
      <c r="U42" s="108" t="n">
        <f aca="false">IF(ISBLANK(R42),"",R42*T42)</f>
        <v>550</v>
      </c>
      <c r="V42" s="103"/>
      <c r="W42" s="113"/>
      <c r="X42" s="36" t="s">
        <v>118</v>
      </c>
      <c r="Y42" s="108"/>
      <c r="Z42" s="108" t="str">
        <f aca="false">IF(ISBLANK(W42),"",W42*Y42)</f>
        <v/>
      </c>
      <c r="AA42" s="103"/>
      <c r="AB42" s="113"/>
      <c r="AC42" s="36" t="s">
        <v>118</v>
      </c>
      <c r="AD42" s="108"/>
      <c r="AE42" s="108" t="str">
        <f aca="false">IF(ISBLANK(AB42),"",AB42*AD42)</f>
        <v/>
      </c>
      <c r="AF42" s="103"/>
      <c r="AG42" s="113"/>
      <c r="AH42" s="36" t="s">
        <v>118</v>
      </c>
      <c r="AI42" s="108"/>
      <c r="AJ42" s="108" t="str">
        <f aca="false">IF(ISBLANK(AG42),"",AG42*AI42)</f>
        <v/>
      </c>
      <c r="AK42" s="103"/>
      <c r="AL42" s="113"/>
      <c r="AM42" s="36" t="s">
        <v>118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112"/>
      <c r="C43" s="113"/>
      <c r="D43" s="36"/>
      <c r="E43" s="108"/>
      <c r="F43" s="108" t="str">
        <f aca="false">IF(ISBLANK(C43),"",C43*E43)</f>
        <v/>
      </c>
      <c r="G43" s="103"/>
      <c r="H43" s="113"/>
      <c r="I43" s="36"/>
      <c r="J43" s="108"/>
      <c r="K43" s="108" t="str">
        <f aca="false">IF(ISBLANK(H43),"",H43*J43)</f>
        <v/>
      </c>
      <c r="L43" s="103"/>
      <c r="M43" s="113"/>
      <c r="N43" s="36"/>
      <c r="O43" s="108"/>
      <c r="P43" s="108" t="str">
        <f aca="false">IF(ISBLANK(M43),"",M43*O43)</f>
        <v/>
      </c>
      <c r="Q43" s="103"/>
      <c r="R43" s="113"/>
      <c r="S43" s="36"/>
      <c r="T43" s="108"/>
      <c r="U43" s="108" t="str">
        <f aca="false">IF(ISBLANK(R43),"",R43*T43)</f>
        <v/>
      </c>
      <c r="V43" s="103"/>
      <c r="W43" s="113"/>
      <c r="X43" s="36"/>
      <c r="Y43" s="108"/>
      <c r="Z43" s="108" t="str">
        <f aca="false">IF(ISBLANK(W43),"",W43*Y43)</f>
        <v/>
      </c>
      <c r="AA43" s="103"/>
      <c r="AB43" s="113"/>
      <c r="AC43" s="36"/>
      <c r="AD43" s="108"/>
      <c r="AE43" s="108" t="str">
        <f aca="false">IF(ISBLANK(AB43),"",AB43*AD43)</f>
        <v/>
      </c>
      <c r="AF43" s="103"/>
      <c r="AG43" s="113"/>
      <c r="AH43" s="36"/>
      <c r="AI43" s="108"/>
      <c r="AJ43" s="108" t="str">
        <f aca="false">IF(ISBLANK(AG43),"",AG43*AI43)</f>
        <v/>
      </c>
      <c r="AK43" s="103"/>
      <c r="AL43" s="113"/>
      <c r="AM43" s="36"/>
      <c r="AN43" s="108"/>
      <c r="AO43" s="108" t="str">
        <f aca="false">IF(ISBLANK(AL43),"",AL43*AN43)</f>
        <v/>
      </c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112" t="s">
        <v>353</v>
      </c>
      <c r="C44" s="113" t="n">
        <v>1</v>
      </c>
      <c r="D44" s="36" t="s">
        <v>209</v>
      </c>
      <c r="E44" s="108" t="n">
        <v>250</v>
      </c>
      <c r="F44" s="108" t="n">
        <f aca="false">IF(ISBLANK(C44),"",C44*E44)</f>
        <v>250</v>
      </c>
      <c r="G44" s="103"/>
      <c r="H44" s="113" t="n">
        <v>1</v>
      </c>
      <c r="I44" s="36" t="s">
        <v>209</v>
      </c>
      <c r="J44" s="108" t="n">
        <v>250</v>
      </c>
      <c r="K44" s="108" t="n">
        <f aca="false">IF(ISBLANK(H44),"",H44*J44)</f>
        <v>250</v>
      </c>
      <c r="L44" s="103"/>
      <c r="M44" s="113" t="n">
        <v>1</v>
      </c>
      <c r="N44" s="36" t="s">
        <v>209</v>
      </c>
      <c r="O44" s="108" t="n">
        <v>250</v>
      </c>
      <c r="P44" s="108" t="n">
        <f aca="false">IF(ISBLANK(M44),"",M44*O44)</f>
        <v>250</v>
      </c>
      <c r="Q44" s="103"/>
      <c r="R44" s="113" t="n">
        <v>1</v>
      </c>
      <c r="S44" s="36" t="s">
        <v>209</v>
      </c>
      <c r="T44" s="108" t="n">
        <v>250</v>
      </c>
      <c r="U44" s="108" t="n">
        <f aca="false">IF(ISBLANK(R44),"",R44*T44)</f>
        <v>250</v>
      </c>
      <c r="V44" s="103"/>
      <c r="W44" s="113"/>
      <c r="X44" s="36" t="s">
        <v>209</v>
      </c>
      <c r="Y44" s="108"/>
      <c r="Z44" s="108" t="str">
        <f aca="false">IF(ISBLANK(W44),"",W44*Y44)</f>
        <v/>
      </c>
      <c r="AA44" s="103"/>
      <c r="AB44" s="113"/>
      <c r="AC44" s="36" t="s">
        <v>209</v>
      </c>
      <c r="AD44" s="108"/>
      <c r="AE44" s="108" t="str">
        <f aca="false">IF(ISBLANK(AB44),"",AB44*AD44)</f>
        <v/>
      </c>
      <c r="AF44" s="103"/>
      <c r="AG44" s="113"/>
      <c r="AH44" s="36" t="s">
        <v>209</v>
      </c>
      <c r="AI44" s="108"/>
      <c r="AJ44" s="108" t="str">
        <f aca="false">IF(ISBLANK(AG44),"",AG44*AI44)</f>
        <v/>
      </c>
      <c r="AK44" s="103"/>
      <c r="AL44" s="113"/>
      <c r="AM44" s="36" t="s">
        <v>209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112"/>
      <c r="C45" s="113"/>
      <c r="D45" s="36"/>
      <c r="E45" s="108"/>
      <c r="F45" s="108" t="str">
        <f aca="false">IF(ISBLANK(C45),"",C45*E45)</f>
        <v/>
      </c>
      <c r="G45" s="103"/>
      <c r="H45" s="113"/>
      <c r="I45" s="36"/>
      <c r="J45" s="108"/>
      <c r="K45" s="108" t="str">
        <f aca="false">IF(ISBLANK(H45),"",H45*J45)</f>
        <v/>
      </c>
      <c r="L45" s="103"/>
      <c r="M45" s="113"/>
      <c r="N45" s="36"/>
      <c r="O45" s="108"/>
      <c r="P45" s="108" t="str">
        <f aca="false">IF(ISBLANK(M45),"",M45*O45)</f>
        <v/>
      </c>
      <c r="Q45" s="103"/>
      <c r="R45" s="113"/>
      <c r="S45" s="36"/>
      <c r="T45" s="108"/>
      <c r="U45" s="108" t="str">
        <f aca="false">IF(ISBLANK(R45),"",R45*T45)</f>
        <v/>
      </c>
      <c r="V45" s="103"/>
      <c r="W45" s="113"/>
      <c r="X45" s="36"/>
      <c r="Y45" s="108"/>
      <c r="Z45" s="108" t="str">
        <f aca="false">IF(ISBLANK(W45),"",W45*Y45)</f>
        <v/>
      </c>
      <c r="AA45" s="103"/>
      <c r="AB45" s="113"/>
      <c r="AC45" s="36"/>
      <c r="AD45" s="108"/>
      <c r="AE45" s="108" t="str">
        <f aca="false">IF(ISBLANK(AB45),"",AB45*AD45)</f>
        <v/>
      </c>
      <c r="AF45" s="103"/>
      <c r="AG45" s="113"/>
      <c r="AH45" s="36"/>
      <c r="AI45" s="108"/>
      <c r="AJ45" s="108" t="str">
        <f aca="false">IF(ISBLANK(AG45),"",AG45*AI45)</f>
        <v/>
      </c>
      <c r="AK45" s="103"/>
      <c r="AL45" s="113"/>
      <c r="AM45" s="36"/>
      <c r="AN45" s="108"/>
      <c r="AO45" s="108" t="str">
        <f aca="false">IF(ISBLANK(AL45),"",AL45*AN45)</f>
        <v/>
      </c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112" t="s">
        <v>354</v>
      </c>
      <c r="C46" s="113" t="n">
        <v>1</v>
      </c>
      <c r="D46" s="36" t="s">
        <v>209</v>
      </c>
      <c r="E46" s="108" t="n">
        <v>500</v>
      </c>
      <c r="F46" s="108" t="n">
        <f aca="false">IF(ISBLANK(C46),"",C46*E46)</f>
        <v>500</v>
      </c>
      <c r="G46" s="103"/>
      <c r="H46" s="113" t="n">
        <v>1</v>
      </c>
      <c r="I46" s="36" t="s">
        <v>209</v>
      </c>
      <c r="J46" s="108" t="n">
        <v>500</v>
      </c>
      <c r="K46" s="108" t="n">
        <f aca="false">IF(ISBLANK(H46),"",H46*J46)</f>
        <v>500</v>
      </c>
      <c r="L46" s="103"/>
      <c r="M46" s="113" t="n">
        <v>1</v>
      </c>
      <c r="N46" s="36" t="s">
        <v>209</v>
      </c>
      <c r="O46" s="108" t="n">
        <v>500</v>
      </c>
      <c r="P46" s="108" t="n">
        <f aca="false">IF(ISBLANK(M46),"",M46*O46)</f>
        <v>500</v>
      </c>
      <c r="Q46" s="103"/>
      <c r="R46" s="113" t="n">
        <v>1</v>
      </c>
      <c r="S46" s="36" t="s">
        <v>209</v>
      </c>
      <c r="T46" s="108" t="n">
        <v>500</v>
      </c>
      <c r="U46" s="108" t="n">
        <f aca="false">IF(ISBLANK(R46),"",R46*T46)</f>
        <v>500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74" t="str">
        <f aca="false">IF(B47&gt;0,IF(C47&gt;0,MAX($A$5:A46)+1," ")," ")</f>
        <v> </v>
      </c>
      <c r="B47" s="114"/>
      <c r="C47" s="115"/>
      <c r="D47" s="36"/>
      <c r="E47" s="108"/>
      <c r="F47" s="108" t="str">
        <f aca="false">IF(ISBLANK(C47),"",C47*E47)</f>
        <v/>
      </c>
      <c r="G47" s="103"/>
      <c r="H47" s="115"/>
      <c r="I47" s="36"/>
      <c r="J47" s="108"/>
      <c r="K47" s="108" t="str">
        <f aca="false">IF(ISBLANK(H47),"",H47*J47)</f>
        <v/>
      </c>
      <c r="L47" s="103"/>
      <c r="M47" s="115"/>
      <c r="N47" s="36"/>
      <c r="O47" s="108"/>
      <c r="P47" s="108" t="str">
        <f aca="false">IF(ISBLANK(M47),"",M47*O47)</f>
        <v/>
      </c>
      <c r="Q47" s="103"/>
      <c r="R47" s="115"/>
      <c r="S47" s="36"/>
      <c r="T47" s="108"/>
      <c r="U47" s="108" t="str">
        <f aca="false">IF(ISBLANK(R47),"",R47*T47)</f>
        <v/>
      </c>
      <c r="V47" s="103"/>
      <c r="W47" s="115"/>
      <c r="X47" s="36"/>
      <c r="Y47" s="108"/>
      <c r="Z47" s="108" t="str">
        <f aca="false">IF(ISBLANK(W47),"",W47*Y47)</f>
        <v/>
      </c>
      <c r="AA47" s="103"/>
      <c r="AB47" s="115"/>
      <c r="AC47" s="36"/>
      <c r="AD47" s="108"/>
      <c r="AE47" s="108" t="str">
        <f aca="false">IF(ISBLANK(AB47),"",AB47*AD47)</f>
        <v/>
      </c>
      <c r="AF47" s="103"/>
      <c r="AG47" s="115"/>
      <c r="AH47" s="36"/>
      <c r="AI47" s="108"/>
      <c r="AJ47" s="108" t="str">
        <f aca="false">IF(ISBLANK(AG47),"",AG47*AI47)</f>
        <v/>
      </c>
      <c r="AK47" s="103"/>
      <c r="AL47" s="115"/>
      <c r="AM47" s="36"/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IF(B53&gt;0,IF(C53&gt;0,MAX($A$3:A47)+1,"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17800</v>
      </c>
      <c r="G54" s="103"/>
      <c r="H54" s="98"/>
      <c r="I54" s="98"/>
      <c r="J54" s="117" t="s">
        <v>177</v>
      </c>
      <c r="K54" s="117" t="n">
        <f aca="false">SUM(K5:K53)</f>
        <v>17800</v>
      </c>
      <c r="L54" s="103"/>
      <c r="M54" s="98"/>
      <c r="N54" s="98"/>
      <c r="O54" s="117" t="s">
        <v>177</v>
      </c>
      <c r="P54" s="117" t="n">
        <f aca="false">SUM(P5:P53)</f>
        <v>17800</v>
      </c>
      <c r="Q54" s="103"/>
      <c r="R54" s="98"/>
      <c r="S54" s="98"/>
      <c r="T54" s="117" t="s">
        <v>177</v>
      </c>
      <c r="U54" s="117" t="n">
        <f aca="false">SUM(U5:U53)</f>
        <v>17800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2.4 Stairs and Ramps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">
        <v>355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112" t="s">
        <v>356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/>
      <c r="X8" s="36" t="s">
        <v>116</v>
      </c>
      <c r="Y8" s="108"/>
      <c r="Z8" s="108" t="str">
        <f aca="false">IF(ISBLANK(W8),"",W8*Y8)</f>
        <v/>
      </c>
      <c r="AA8" s="103"/>
      <c r="AB8" s="113"/>
      <c r="AC8" s="36" t="s">
        <v>116</v>
      </c>
      <c r="AD8" s="108"/>
      <c r="AE8" s="108" t="str">
        <f aca="false">IF(ISBLANK(AB8),"",AB8*AD8)</f>
        <v/>
      </c>
      <c r="AF8" s="103"/>
      <c r="AG8" s="113"/>
      <c r="AH8" s="36" t="s">
        <v>116</v>
      </c>
      <c r="AI8" s="108"/>
      <c r="AJ8" s="108" t="str">
        <f aca="false">IF(ISBLANK(AG8),"",AG8*AI8)</f>
        <v/>
      </c>
      <c r="AK8" s="103"/>
      <c r="AL8" s="113"/>
      <c r="AM8" s="36" t="s">
        <v>116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09"/>
      <c r="B9" s="112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IF(B10&gt;0,IF(C10&gt;0,MAX($A$5:A8)+1," ")," ")</f>
        <v>2</v>
      </c>
      <c r="B10" s="112" t="s">
        <v>357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/>
      <c r="X10" s="36" t="s">
        <v>116</v>
      </c>
      <c r="Y10" s="108"/>
      <c r="Z10" s="108" t="str">
        <f aca="false">IF(ISBLANK(W10),"",W10*Y10)</f>
        <v/>
      </c>
      <c r="AA10" s="103"/>
      <c r="AB10" s="113"/>
      <c r="AC10" s="36" t="s">
        <v>116</v>
      </c>
      <c r="AD10" s="108"/>
      <c r="AE10" s="108" t="str">
        <f aca="false">IF(ISBLANK(AB10),"",AB10*AD10)</f>
        <v/>
      </c>
      <c r="AF10" s="103"/>
      <c r="AG10" s="113"/>
      <c r="AH10" s="36" t="s">
        <v>116</v>
      </c>
      <c r="AI10" s="108"/>
      <c r="AJ10" s="108" t="str">
        <f aca="false">IF(ISBLANK(AG10),"",AG10*AI10)</f>
        <v/>
      </c>
      <c r="AK10" s="103"/>
      <c r="AL10" s="113"/>
      <c r="AM10" s="36" t="s">
        <v>116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09"/>
      <c r="B11" s="112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IF(B12&gt;0,IF(C12&gt;0,MAX($A$5:A10)+1," ")," ")</f>
        <v>3</v>
      </c>
      <c r="B12" s="112" t="s">
        <v>358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/>
      <c r="X12" s="36" t="s">
        <v>116</v>
      </c>
      <c r="Y12" s="108"/>
      <c r="Z12" s="108" t="str">
        <f aca="false">IF(ISBLANK(W12),"",W12*Y12)</f>
        <v/>
      </c>
      <c r="AA12" s="103"/>
      <c r="AB12" s="113"/>
      <c r="AC12" s="36" t="s">
        <v>116</v>
      </c>
      <c r="AD12" s="108"/>
      <c r="AE12" s="108" t="str">
        <f aca="false">IF(ISBLANK(AB12),"",AB12*AD12)</f>
        <v/>
      </c>
      <c r="AF12" s="103"/>
      <c r="AG12" s="113"/>
      <c r="AH12" s="36" t="s">
        <v>116</v>
      </c>
      <c r="AI12" s="108"/>
      <c r="AJ12" s="108" t="str">
        <f aca="false">IF(ISBLANK(AG12),"",AG12*AI12)</f>
        <v/>
      </c>
      <c r="AK12" s="103"/>
      <c r="AL12" s="113"/>
      <c r="AM12" s="36" t="s">
        <v>116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112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112" t="s">
        <v>359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112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/>
      <c r="Y15" s="108"/>
      <c r="Z15" s="108"/>
      <c r="AA15" s="103"/>
      <c r="AB15" s="113"/>
      <c r="AC15" s="36"/>
      <c r="AD15" s="108"/>
      <c r="AE15" s="108"/>
      <c r="AF15" s="103"/>
      <c r="AG15" s="113"/>
      <c r="AH15" s="36"/>
      <c r="AI15" s="108"/>
      <c r="AJ15" s="108"/>
      <c r="AK15" s="103"/>
      <c r="AL15" s="113"/>
      <c r="AM15" s="36"/>
      <c r="AN15" s="108"/>
      <c r="AO15" s="108"/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112" t="s">
        <v>360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112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112" t="s">
        <v>361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112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112" t="s">
        <v>362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112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112" t="s">
        <v>363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112"/>
      <c r="C23" s="113"/>
      <c r="D23" s="36"/>
      <c r="E23" s="108"/>
      <c r="F23" s="108"/>
      <c r="G23" s="103"/>
      <c r="H23" s="113"/>
      <c r="I23" s="36"/>
      <c r="J23" s="108"/>
      <c r="K23" s="108"/>
      <c r="L23" s="103"/>
      <c r="M23" s="113"/>
      <c r="N23" s="36"/>
      <c r="O23" s="108"/>
      <c r="P23" s="108"/>
      <c r="Q23" s="103"/>
      <c r="R23" s="113"/>
      <c r="S23" s="36"/>
      <c r="T23" s="108"/>
      <c r="U23" s="108"/>
      <c r="V23" s="103"/>
      <c r="W23" s="113"/>
      <c r="X23" s="36"/>
      <c r="Y23" s="108"/>
      <c r="Z23" s="108"/>
      <c r="AA23" s="103"/>
      <c r="AB23" s="113"/>
      <c r="AC23" s="36"/>
      <c r="AD23" s="108"/>
      <c r="AE23" s="108"/>
      <c r="AF23" s="103"/>
      <c r="AG23" s="113"/>
      <c r="AH23" s="36"/>
      <c r="AI23" s="108"/>
      <c r="AJ23" s="108"/>
      <c r="AK23" s="103"/>
      <c r="AL23" s="113"/>
      <c r="AM23" s="36"/>
      <c r="AN23" s="108"/>
      <c r="AO23" s="108"/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112" t="s">
        <v>364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112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112" t="s">
        <v>365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112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112" t="s">
        <v>366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112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112" t="s">
        <v>367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112"/>
      <c r="C31" s="113"/>
      <c r="D31" s="36"/>
      <c r="E31" s="108"/>
      <c r="F31" s="108"/>
      <c r="G31" s="103"/>
      <c r="H31" s="113"/>
      <c r="I31" s="36"/>
      <c r="J31" s="108"/>
      <c r="K31" s="108"/>
      <c r="L31" s="103"/>
      <c r="M31" s="113"/>
      <c r="N31" s="36"/>
      <c r="O31" s="108"/>
      <c r="P31" s="108"/>
      <c r="Q31" s="103"/>
      <c r="R31" s="113"/>
      <c r="S31" s="36"/>
      <c r="T31" s="108"/>
      <c r="U31" s="108"/>
      <c r="V31" s="103"/>
      <c r="W31" s="113"/>
      <c r="X31" s="36"/>
      <c r="Y31" s="108"/>
      <c r="Z31" s="108"/>
      <c r="AA31" s="103"/>
      <c r="AB31" s="113"/>
      <c r="AC31" s="36"/>
      <c r="AD31" s="108"/>
      <c r="AE31" s="108"/>
      <c r="AF31" s="103"/>
      <c r="AG31" s="113"/>
      <c r="AH31" s="36"/>
      <c r="AI31" s="108"/>
      <c r="AJ31" s="108"/>
      <c r="AK31" s="103"/>
      <c r="AL31" s="113"/>
      <c r="AM31" s="36"/>
      <c r="AN31" s="108"/>
      <c r="AO31" s="108"/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112" t="s">
        <v>368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112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112" t="s">
        <v>369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112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112" t="s">
        <v>370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112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179" t="s">
        <v>371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C39" s="113"/>
      <c r="D39" s="36"/>
      <c r="E39" s="108"/>
      <c r="F39" s="108"/>
      <c r="G39" s="103"/>
      <c r="H39" s="113"/>
      <c r="I39" s="36"/>
      <c r="J39" s="108"/>
      <c r="K39" s="108"/>
      <c r="L39" s="103"/>
      <c r="M39" s="113"/>
      <c r="N39" s="36"/>
      <c r="O39" s="108"/>
      <c r="P39" s="108"/>
      <c r="Q39" s="103"/>
      <c r="R39" s="113"/>
      <c r="S39" s="36"/>
      <c r="T39" s="108"/>
      <c r="U39" s="108"/>
      <c r="V39" s="103"/>
      <c r="W39" s="113"/>
      <c r="X39" s="36"/>
      <c r="Y39" s="108"/>
      <c r="Z39" s="108"/>
      <c r="AA39" s="103"/>
      <c r="AB39" s="113"/>
      <c r="AC39" s="36"/>
      <c r="AD39" s="108"/>
      <c r="AE39" s="108"/>
      <c r="AF39" s="103"/>
      <c r="AG39" s="113"/>
      <c r="AH39" s="36"/>
      <c r="AI39" s="108"/>
      <c r="AJ39" s="108"/>
      <c r="AK39" s="103"/>
      <c r="AL39" s="113"/>
      <c r="AM39" s="36"/>
      <c r="AN39" s="108"/>
      <c r="AO39" s="108"/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94" t="s">
        <v>372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94" t="s">
        <v>373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112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112" t="s">
        <v>374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116</v>
      </c>
      <c r="Y44" s="108"/>
      <c r="Z44" s="108" t="str">
        <f aca="false">IF(ISBLANK(W44),"",W44*Y44)</f>
        <v/>
      </c>
      <c r="AA44" s="103"/>
      <c r="AB44" s="113"/>
      <c r="AC44" s="36" t="s">
        <v>116</v>
      </c>
      <c r="AD44" s="108"/>
      <c r="AE44" s="108" t="str">
        <f aca="false">IF(ISBLANK(AB44),"",AB44*AD44)</f>
        <v/>
      </c>
      <c r="AF44" s="103"/>
      <c r="AG44" s="113"/>
      <c r="AH44" s="36" t="s">
        <v>116</v>
      </c>
      <c r="AI44" s="108"/>
      <c r="AJ44" s="108" t="str">
        <f aca="false">IF(ISBLANK(AG44),"",AG44*AI44)</f>
        <v/>
      </c>
      <c r="AK44" s="103"/>
      <c r="AL44" s="113"/>
      <c r="AM44" s="36" t="s">
        <v>116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112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112" t="s">
        <v>375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/>
      <c r="X46" s="36" t="s">
        <v>116</v>
      </c>
      <c r="Y46" s="108"/>
      <c r="Z46" s="108" t="str">
        <f aca="false">IF(ISBLANK(W46),"",W46*Y46)</f>
        <v/>
      </c>
      <c r="AA46" s="103"/>
      <c r="AB46" s="113"/>
      <c r="AC46" s="36" t="s">
        <v>116</v>
      </c>
      <c r="AD46" s="108"/>
      <c r="AE46" s="108" t="str">
        <f aca="false">IF(ISBLANK(AB46),"",AB46*AD46)</f>
        <v/>
      </c>
      <c r="AF46" s="103"/>
      <c r="AG46" s="113"/>
      <c r="AH46" s="36" t="s">
        <v>116</v>
      </c>
      <c r="AI46" s="108"/>
      <c r="AJ46" s="108" t="str">
        <f aca="false">IF(ISBLANK(AG46),"",AG46*AI46)</f>
        <v/>
      </c>
      <c r="AK46" s="103"/>
      <c r="AL46" s="113"/>
      <c r="AM46" s="36" t="s">
        <v>116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74" t="str">
        <f aca="false">IF(B47&gt;0,IF(C47&gt;0,MAX($A$5:A46)+1," ")," ")</f>
        <v> </v>
      </c>
      <c r="B47" s="114"/>
      <c r="C47" s="115"/>
      <c r="D47" s="36"/>
      <c r="E47" s="108"/>
      <c r="F47" s="108" t="str">
        <f aca="false">IF(ISBLANK(C47),"",C47*E47)</f>
        <v/>
      </c>
      <c r="G47" s="103"/>
      <c r="H47" s="115"/>
      <c r="I47" s="36"/>
      <c r="J47" s="108"/>
      <c r="K47" s="108" t="str">
        <f aca="false">IF(ISBLANK(H47),"",H47*J47)</f>
        <v/>
      </c>
      <c r="L47" s="103"/>
      <c r="M47" s="115"/>
      <c r="N47" s="36"/>
      <c r="O47" s="108"/>
      <c r="P47" s="108" t="str">
        <f aca="false">IF(ISBLANK(M47),"",M47*O47)</f>
        <v/>
      </c>
      <c r="Q47" s="103"/>
      <c r="R47" s="115"/>
      <c r="S47" s="36"/>
      <c r="T47" s="108"/>
      <c r="U47" s="108" t="str">
        <f aca="false">IF(ISBLANK(R47),"",R47*T47)</f>
        <v/>
      </c>
      <c r="V47" s="103"/>
      <c r="W47" s="115"/>
      <c r="X47" s="36"/>
      <c r="Y47" s="108"/>
      <c r="Z47" s="108" t="str">
        <f aca="false">IF(ISBLANK(W47),"",W47*Y47)</f>
        <v/>
      </c>
      <c r="AA47" s="103"/>
      <c r="AB47" s="115"/>
      <c r="AC47" s="36"/>
      <c r="AD47" s="108"/>
      <c r="AE47" s="108" t="str">
        <f aca="false">IF(ISBLANK(AB47),"",AB47*AD47)</f>
        <v/>
      </c>
      <c r="AF47" s="103"/>
      <c r="AG47" s="115"/>
      <c r="AH47" s="36"/>
      <c r="AI47" s="108"/>
      <c r="AJ47" s="108" t="str">
        <f aca="false">IF(ISBLANK(AG47),"",AG47*AI47)</f>
        <v/>
      </c>
      <c r="AK47" s="103"/>
      <c r="AL47" s="115"/>
      <c r="AM47" s="36"/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IF(B48&gt;0,IF(C48&gt;0,MAX($A$5:A47)+1,"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IF(B53&gt;0,IF(C53&gt;0,MAX($A$3:A47)+1,"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2.5 External walls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2.5 External walls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09"/>
      <c r="B7" s="112"/>
      <c r="C7" s="113"/>
      <c r="D7" s="36"/>
      <c r="E7" s="108"/>
      <c r="F7" s="108"/>
      <c r="G7" s="103"/>
      <c r="H7" s="113"/>
      <c r="I7" s="36"/>
      <c r="J7" s="108"/>
      <c r="K7" s="108"/>
      <c r="L7" s="103"/>
      <c r="M7" s="113"/>
      <c r="N7" s="36"/>
      <c r="O7" s="108"/>
      <c r="P7" s="108"/>
      <c r="Q7" s="103"/>
      <c r="R7" s="113"/>
      <c r="S7" s="36"/>
      <c r="T7" s="108"/>
      <c r="U7" s="108"/>
      <c r="V7" s="103"/>
      <c r="W7" s="113"/>
      <c r="X7" s="36"/>
      <c r="Y7" s="108"/>
      <c r="Z7" s="108"/>
      <c r="AA7" s="103"/>
      <c r="AB7" s="113"/>
      <c r="AC7" s="36"/>
      <c r="AD7" s="108"/>
      <c r="AE7" s="108"/>
      <c r="AF7" s="103"/>
      <c r="AG7" s="113"/>
      <c r="AH7" s="36"/>
      <c r="AI7" s="108"/>
      <c r="AJ7" s="108"/>
      <c r="AK7" s="103"/>
      <c r="AL7" s="113"/>
      <c r="AM7" s="36"/>
      <c r="AN7" s="108"/>
      <c r="AO7" s="108"/>
      <c r="AP7" s="103"/>
    </row>
    <row r="8" customFormat="false" ht="11.25" hidden="false" customHeight="true" outlineLevel="0" collapsed="false">
      <c r="A8" s="109"/>
      <c r="B8" s="112"/>
      <c r="C8" s="113"/>
      <c r="D8" s="36"/>
      <c r="E8" s="108"/>
      <c r="F8" s="108"/>
      <c r="G8" s="103"/>
      <c r="H8" s="113"/>
      <c r="I8" s="36"/>
      <c r="J8" s="108"/>
      <c r="K8" s="108"/>
      <c r="L8" s="103"/>
      <c r="M8" s="113"/>
      <c r="N8" s="36"/>
      <c r="O8" s="108"/>
      <c r="P8" s="108"/>
      <c r="Q8" s="103"/>
      <c r="R8" s="113"/>
      <c r="S8" s="36"/>
      <c r="T8" s="108"/>
      <c r="U8" s="108"/>
      <c r="V8" s="103"/>
      <c r="W8" s="113"/>
      <c r="X8" s="36"/>
      <c r="Y8" s="108"/>
      <c r="Z8" s="108"/>
      <c r="AA8" s="103"/>
      <c r="AB8" s="113"/>
      <c r="AC8" s="36"/>
      <c r="AD8" s="108"/>
      <c r="AE8" s="108"/>
      <c r="AF8" s="103"/>
      <c r="AG8" s="113"/>
      <c r="AH8" s="36"/>
      <c r="AI8" s="108"/>
      <c r="AJ8" s="108"/>
      <c r="AK8" s="103"/>
      <c r="AL8" s="113"/>
      <c r="AM8" s="36"/>
      <c r="AN8" s="108"/>
      <c r="AO8" s="108"/>
      <c r="AP8" s="103"/>
    </row>
    <row r="9" customFormat="false" ht="11.25" hidden="false" customHeight="true" outlineLevel="0" collapsed="false">
      <c r="A9" s="180" t="n">
        <f aca="false">IF(B9&gt;0,IF(C9&gt;0,MAX($A$5:A7)+1," ")," ")</f>
        <v>1</v>
      </c>
      <c r="B9" s="112" t="s">
        <v>376</v>
      </c>
      <c r="C9" s="113" t="n">
        <v>10</v>
      </c>
      <c r="D9" s="36" t="s">
        <v>116</v>
      </c>
      <c r="E9" s="108" t="n">
        <v>100</v>
      </c>
      <c r="F9" s="108" t="n">
        <f aca="false">IF(ISBLANK(C9),"",C9*E9)</f>
        <v>1000</v>
      </c>
      <c r="G9" s="103"/>
      <c r="H9" s="113" t="n">
        <v>10</v>
      </c>
      <c r="I9" s="36" t="s">
        <v>116</v>
      </c>
      <c r="J9" s="108" t="n">
        <v>100</v>
      </c>
      <c r="K9" s="108" t="n">
        <f aca="false">IF(ISBLANK(H9),"",H9*J9)</f>
        <v>1000</v>
      </c>
      <c r="L9" s="103"/>
      <c r="M9" s="113" t="n">
        <v>10</v>
      </c>
      <c r="N9" s="36" t="s">
        <v>116</v>
      </c>
      <c r="O9" s="108" t="n">
        <v>100</v>
      </c>
      <c r="P9" s="108" t="n">
        <f aca="false">IF(ISBLANK(M9),"",M9*O9)</f>
        <v>1000</v>
      </c>
      <c r="Q9" s="103"/>
      <c r="R9" s="113" t="n">
        <v>10</v>
      </c>
      <c r="S9" s="36" t="s">
        <v>116</v>
      </c>
      <c r="T9" s="108" t="n">
        <v>100</v>
      </c>
      <c r="U9" s="108" t="n">
        <f aca="false">IF(ISBLANK(R9),"",R9*T9)</f>
        <v>1000</v>
      </c>
      <c r="V9" s="103"/>
      <c r="W9" s="113"/>
      <c r="X9" s="36" t="s">
        <v>116</v>
      </c>
      <c r="Y9" s="108"/>
      <c r="Z9" s="108" t="str">
        <f aca="false">IF(ISBLANK(W9),"",W9*Y9)</f>
        <v/>
      </c>
      <c r="AA9" s="103"/>
      <c r="AB9" s="113"/>
      <c r="AC9" s="36" t="s">
        <v>116</v>
      </c>
      <c r="AD9" s="108"/>
      <c r="AE9" s="108" t="str">
        <f aca="false">IF(ISBLANK(AB9),"",AB9*AD9)</f>
        <v/>
      </c>
      <c r="AF9" s="103"/>
      <c r="AG9" s="113"/>
      <c r="AH9" s="36" t="s">
        <v>116</v>
      </c>
      <c r="AI9" s="108"/>
      <c r="AJ9" s="108" t="str">
        <f aca="false">IF(ISBLANK(AG9),"",AG9*AI9)</f>
        <v/>
      </c>
      <c r="AK9" s="103"/>
      <c r="AL9" s="113"/>
      <c r="AM9" s="36" t="s">
        <v>116</v>
      </c>
      <c r="AN9" s="108"/>
      <c r="AO9" s="108" t="str">
        <f aca="false">IF(ISBLANK(AL9),"",AL9*AN9)</f>
        <v/>
      </c>
      <c r="AP9" s="103"/>
    </row>
    <row r="10" customFormat="false" ht="11.25" hidden="false" customHeight="true" outlineLevel="0" collapsed="false">
      <c r="A10" s="181"/>
      <c r="B10" s="112"/>
      <c r="C10" s="113"/>
      <c r="D10" s="36"/>
      <c r="E10" s="108"/>
      <c r="F10" s="108"/>
      <c r="G10" s="103"/>
      <c r="H10" s="113"/>
      <c r="I10" s="36"/>
      <c r="J10" s="108"/>
      <c r="K10" s="108"/>
      <c r="L10" s="103"/>
      <c r="M10" s="113"/>
      <c r="N10" s="36"/>
      <c r="O10" s="108"/>
      <c r="P10" s="108"/>
      <c r="Q10" s="103"/>
      <c r="R10" s="113"/>
      <c r="S10" s="36"/>
      <c r="T10" s="108"/>
      <c r="U10" s="108"/>
      <c r="V10" s="103"/>
      <c r="W10" s="113"/>
      <c r="X10" s="36"/>
      <c r="Y10" s="108"/>
      <c r="Z10" s="108"/>
      <c r="AA10" s="103"/>
      <c r="AB10" s="113"/>
      <c r="AC10" s="36"/>
      <c r="AD10" s="108"/>
      <c r="AE10" s="108"/>
      <c r="AF10" s="103"/>
      <c r="AG10" s="113"/>
      <c r="AH10" s="36"/>
      <c r="AI10" s="108"/>
      <c r="AJ10" s="108"/>
      <c r="AK10" s="103"/>
      <c r="AL10" s="113"/>
      <c r="AM10" s="36"/>
      <c r="AN10" s="108"/>
      <c r="AO10" s="108"/>
      <c r="AP10" s="103"/>
    </row>
    <row r="11" customFormat="false" ht="11.25" hidden="false" customHeight="true" outlineLevel="0" collapsed="false">
      <c r="A11" s="180" t="n">
        <f aca="false">IF(B11&gt;0,IF(C11&gt;0,MAX($A$5:A9)+1," ")," ")</f>
        <v>2</v>
      </c>
      <c r="B11" s="112" t="s">
        <v>377</v>
      </c>
      <c r="C11" s="113" t="n">
        <v>10</v>
      </c>
      <c r="D11" s="36" t="s">
        <v>329</v>
      </c>
      <c r="E11" s="108" t="n">
        <v>100</v>
      </c>
      <c r="F11" s="108" t="n">
        <f aca="false">IF(ISBLANK(C11),"",C11*E11)</f>
        <v>1000</v>
      </c>
      <c r="G11" s="103"/>
      <c r="H11" s="113" t="n">
        <v>10</v>
      </c>
      <c r="I11" s="36" t="s">
        <v>329</v>
      </c>
      <c r="J11" s="108" t="n">
        <v>100</v>
      </c>
      <c r="K11" s="108" t="n">
        <f aca="false">IF(ISBLANK(H11),"",H11*J11)</f>
        <v>1000</v>
      </c>
      <c r="L11" s="103"/>
      <c r="M11" s="113" t="n">
        <v>10</v>
      </c>
      <c r="N11" s="36" t="s">
        <v>329</v>
      </c>
      <c r="O11" s="108" t="n">
        <v>100</v>
      </c>
      <c r="P11" s="108" t="n">
        <f aca="false">IF(ISBLANK(M11),"",M11*O11)</f>
        <v>1000</v>
      </c>
      <c r="Q11" s="103"/>
      <c r="R11" s="113" t="n">
        <v>10</v>
      </c>
      <c r="S11" s="36" t="s">
        <v>329</v>
      </c>
      <c r="T11" s="108" t="n">
        <v>100</v>
      </c>
      <c r="U11" s="108" t="n">
        <f aca="false">IF(ISBLANK(R11),"",R11*T11)</f>
        <v>1000</v>
      </c>
      <c r="V11" s="103"/>
      <c r="W11" s="113"/>
      <c r="X11" s="36" t="s">
        <v>329</v>
      </c>
      <c r="Y11" s="108"/>
      <c r="Z11" s="108" t="str">
        <f aca="false">IF(ISBLANK(W11),"",W11*Y11)</f>
        <v/>
      </c>
      <c r="AA11" s="103"/>
      <c r="AB11" s="113"/>
      <c r="AC11" s="36" t="s">
        <v>329</v>
      </c>
      <c r="AD11" s="108"/>
      <c r="AE11" s="108" t="str">
        <f aca="false">IF(ISBLANK(AB11),"",AB11*AD11)</f>
        <v/>
      </c>
      <c r="AF11" s="103"/>
      <c r="AG11" s="113"/>
      <c r="AH11" s="36" t="s">
        <v>329</v>
      </c>
      <c r="AI11" s="108"/>
      <c r="AJ11" s="108" t="str">
        <f aca="false">IF(ISBLANK(AG11),"",AG11*AI11)</f>
        <v/>
      </c>
      <c r="AK11" s="103"/>
      <c r="AL11" s="113"/>
      <c r="AM11" s="36" t="s">
        <v>329</v>
      </c>
      <c r="AN11" s="108"/>
      <c r="AO11" s="108" t="str">
        <f aca="false">IF(ISBLANK(AL11),"",AL11*AN11)</f>
        <v/>
      </c>
      <c r="AP11" s="103"/>
    </row>
    <row r="12" customFormat="false" ht="11.25" hidden="false" customHeight="true" outlineLevel="0" collapsed="false">
      <c r="A12" s="181"/>
      <c r="B12" s="112"/>
      <c r="C12" s="113"/>
      <c r="D12" s="36"/>
      <c r="E12" s="108"/>
      <c r="F12" s="108"/>
      <c r="G12" s="103"/>
      <c r="H12" s="113"/>
      <c r="I12" s="36"/>
      <c r="J12" s="108"/>
      <c r="K12" s="108"/>
      <c r="L12" s="103"/>
      <c r="M12" s="113"/>
      <c r="N12" s="36"/>
      <c r="O12" s="108"/>
      <c r="P12" s="108"/>
      <c r="Q12" s="103"/>
      <c r="R12" s="113"/>
      <c r="S12" s="36"/>
      <c r="T12" s="108"/>
      <c r="U12" s="108"/>
      <c r="V12" s="103"/>
      <c r="W12" s="113"/>
      <c r="X12" s="36"/>
      <c r="Y12" s="108"/>
      <c r="Z12" s="108"/>
      <c r="AA12" s="103"/>
      <c r="AB12" s="113"/>
      <c r="AC12" s="36"/>
      <c r="AD12" s="108"/>
      <c r="AE12" s="108"/>
      <c r="AF12" s="103"/>
      <c r="AG12" s="113"/>
      <c r="AH12" s="36"/>
      <c r="AI12" s="108"/>
      <c r="AJ12" s="108"/>
      <c r="AK12" s="103"/>
      <c r="AL12" s="113"/>
      <c r="AM12" s="36"/>
      <c r="AN12" s="108"/>
      <c r="AO12" s="108"/>
      <c r="AP12" s="103"/>
    </row>
    <row r="13" customFormat="false" ht="11.25" hidden="false" customHeight="true" outlineLevel="0" collapsed="false">
      <c r="A13" s="180" t="n">
        <f aca="false">IF(B13&gt;0,IF(C13&gt;0,MAX($A$5:A11)+1," ")," ")</f>
        <v>3</v>
      </c>
      <c r="B13" s="112" t="s">
        <v>378</v>
      </c>
      <c r="C13" s="113" t="n">
        <v>10</v>
      </c>
      <c r="D13" s="36" t="s">
        <v>272</v>
      </c>
      <c r="E13" s="108" t="n">
        <v>100</v>
      </c>
      <c r="F13" s="108" t="n">
        <f aca="false">IF(ISBLANK(C13),"",C13*E13)</f>
        <v>1000</v>
      </c>
      <c r="G13" s="103"/>
      <c r="H13" s="113" t="n">
        <v>10</v>
      </c>
      <c r="I13" s="36" t="s">
        <v>272</v>
      </c>
      <c r="J13" s="108" t="n">
        <v>100</v>
      </c>
      <c r="K13" s="108" t="n">
        <f aca="false">IF(ISBLANK(H13),"",H13*J13)</f>
        <v>1000</v>
      </c>
      <c r="L13" s="103"/>
      <c r="M13" s="113" t="n">
        <v>10</v>
      </c>
      <c r="N13" s="36" t="s">
        <v>272</v>
      </c>
      <c r="O13" s="108" t="n">
        <v>100</v>
      </c>
      <c r="P13" s="108" t="n">
        <f aca="false">IF(ISBLANK(M13),"",M13*O13)</f>
        <v>1000</v>
      </c>
      <c r="Q13" s="103"/>
      <c r="R13" s="113" t="n">
        <v>10</v>
      </c>
      <c r="S13" s="36" t="s">
        <v>272</v>
      </c>
      <c r="T13" s="108" t="n">
        <v>100</v>
      </c>
      <c r="U13" s="108" t="n">
        <f aca="false">IF(ISBLANK(R13),"",R13*T13)</f>
        <v>1000</v>
      </c>
      <c r="V13" s="103"/>
      <c r="W13" s="113"/>
      <c r="X13" s="36" t="s">
        <v>272</v>
      </c>
      <c r="Y13" s="108"/>
      <c r="Z13" s="108" t="str">
        <f aca="false">IF(ISBLANK(W13),"",W13*Y13)</f>
        <v/>
      </c>
      <c r="AA13" s="103"/>
      <c r="AB13" s="113"/>
      <c r="AC13" s="36" t="s">
        <v>272</v>
      </c>
      <c r="AD13" s="108"/>
      <c r="AE13" s="108" t="str">
        <f aca="false">IF(ISBLANK(AB13),"",AB13*AD13)</f>
        <v/>
      </c>
      <c r="AF13" s="103"/>
      <c r="AG13" s="113"/>
      <c r="AH13" s="36" t="s">
        <v>272</v>
      </c>
      <c r="AI13" s="108"/>
      <c r="AJ13" s="108" t="str">
        <f aca="false">IF(ISBLANK(AG13),"",AG13*AI13)</f>
        <v/>
      </c>
      <c r="AK13" s="103"/>
      <c r="AL13" s="113"/>
      <c r="AM13" s="36" t="s">
        <v>272</v>
      </c>
      <c r="AN13" s="108"/>
      <c r="AO13" s="108" t="str">
        <f aca="false">IF(ISBLANK(AL13),"",AL13*AN13)</f>
        <v/>
      </c>
      <c r="AP13" s="103"/>
    </row>
    <row r="14" customFormat="false" ht="11.25" hidden="false" customHeight="true" outlineLevel="0" collapsed="false">
      <c r="A14" s="181"/>
      <c r="B14" s="112"/>
      <c r="C14" s="113"/>
      <c r="D14" s="36"/>
      <c r="E14" s="108"/>
      <c r="F14" s="108"/>
      <c r="G14" s="103"/>
      <c r="H14" s="113"/>
      <c r="I14" s="36"/>
      <c r="J14" s="108"/>
      <c r="K14" s="108"/>
      <c r="L14" s="103"/>
      <c r="M14" s="113"/>
      <c r="N14" s="36"/>
      <c r="O14" s="108"/>
      <c r="P14" s="108"/>
      <c r="Q14" s="103"/>
      <c r="R14" s="113"/>
      <c r="S14" s="36"/>
      <c r="T14" s="108"/>
      <c r="U14" s="108"/>
      <c r="V14" s="103"/>
      <c r="W14" s="113"/>
      <c r="X14" s="36"/>
      <c r="Y14" s="108"/>
      <c r="Z14" s="108"/>
      <c r="AA14" s="103"/>
      <c r="AB14" s="113"/>
      <c r="AC14" s="36"/>
      <c r="AD14" s="108"/>
      <c r="AE14" s="108"/>
      <c r="AF14" s="103"/>
      <c r="AG14" s="113"/>
      <c r="AH14" s="36"/>
      <c r="AI14" s="108"/>
      <c r="AJ14" s="108"/>
      <c r="AK14" s="103"/>
      <c r="AL14" s="113"/>
      <c r="AM14" s="36"/>
      <c r="AN14" s="108"/>
      <c r="AO14" s="108"/>
      <c r="AP14" s="103"/>
    </row>
    <row r="15" customFormat="false" ht="11.25" hidden="false" customHeight="true" outlineLevel="0" collapsed="false">
      <c r="A15" s="180" t="n">
        <f aca="false">IF(B15&gt;0,IF(C15&gt;0,MAX($A$5:A13)+1," ")," ")</f>
        <v>4</v>
      </c>
      <c r="B15" s="112" t="s">
        <v>379</v>
      </c>
      <c r="C15" s="113" t="n">
        <v>10</v>
      </c>
      <c r="D15" s="36" t="s">
        <v>272</v>
      </c>
      <c r="E15" s="108" t="n">
        <v>100</v>
      </c>
      <c r="F15" s="108" t="n">
        <f aca="false">IF(ISBLANK(C15),"",C15*E15)</f>
        <v>1000</v>
      </c>
      <c r="G15" s="103"/>
      <c r="H15" s="113" t="n">
        <v>10</v>
      </c>
      <c r="I15" s="36" t="s">
        <v>272</v>
      </c>
      <c r="J15" s="108" t="n">
        <v>100</v>
      </c>
      <c r="K15" s="108" t="n">
        <f aca="false">IF(ISBLANK(H15),"",H15*J15)</f>
        <v>1000</v>
      </c>
      <c r="L15" s="103"/>
      <c r="M15" s="113" t="n">
        <v>10</v>
      </c>
      <c r="N15" s="36" t="s">
        <v>272</v>
      </c>
      <c r="O15" s="108" t="n">
        <v>100</v>
      </c>
      <c r="P15" s="108" t="n">
        <f aca="false">IF(ISBLANK(M15),"",M15*O15)</f>
        <v>1000</v>
      </c>
      <c r="Q15" s="103"/>
      <c r="R15" s="113" t="n">
        <v>10</v>
      </c>
      <c r="S15" s="36" t="s">
        <v>272</v>
      </c>
      <c r="T15" s="108" t="n">
        <v>100</v>
      </c>
      <c r="U15" s="108" t="n">
        <f aca="false">IF(ISBLANK(R15),"",R15*T15)</f>
        <v>1000</v>
      </c>
      <c r="V15" s="103"/>
      <c r="W15" s="113"/>
      <c r="X15" s="36" t="s">
        <v>272</v>
      </c>
      <c r="Y15" s="108"/>
      <c r="Z15" s="108" t="str">
        <f aca="false">IF(ISBLANK(W15),"",W15*Y15)</f>
        <v/>
      </c>
      <c r="AA15" s="103"/>
      <c r="AB15" s="113"/>
      <c r="AC15" s="36" t="s">
        <v>272</v>
      </c>
      <c r="AD15" s="108"/>
      <c r="AE15" s="108" t="str">
        <f aca="false">IF(ISBLANK(AB15),"",AB15*AD15)</f>
        <v/>
      </c>
      <c r="AF15" s="103"/>
      <c r="AG15" s="113"/>
      <c r="AH15" s="36" t="s">
        <v>272</v>
      </c>
      <c r="AI15" s="108"/>
      <c r="AJ15" s="108" t="str">
        <f aca="false">IF(ISBLANK(AG15),"",AG15*AI15)</f>
        <v/>
      </c>
      <c r="AK15" s="103"/>
      <c r="AL15" s="113"/>
      <c r="AM15" s="36" t="s">
        <v>272</v>
      </c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81"/>
      <c r="B16" s="112"/>
      <c r="C16" s="113"/>
      <c r="D16" s="36"/>
      <c r="E16" s="108"/>
      <c r="F16" s="108"/>
      <c r="G16" s="103"/>
      <c r="H16" s="113"/>
      <c r="I16" s="36"/>
      <c r="J16" s="108"/>
      <c r="K16" s="108"/>
      <c r="L16" s="103"/>
      <c r="M16" s="113"/>
      <c r="N16" s="36"/>
      <c r="O16" s="108"/>
      <c r="P16" s="108"/>
      <c r="Q16" s="103"/>
      <c r="R16" s="113"/>
      <c r="S16" s="36"/>
      <c r="T16" s="108"/>
      <c r="U16" s="108"/>
      <c r="V16" s="103"/>
      <c r="W16" s="113"/>
      <c r="X16" s="36"/>
      <c r="Y16" s="108"/>
      <c r="Z16" s="108"/>
      <c r="AA16" s="103"/>
      <c r="AB16" s="113"/>
      <c r="AC16" s="36"/>
      <c r="AD16" s="108"/>
      <c r="AE16" s="108"/>
      <c r="AF16" s="103"/>
      <c r="AG16" s="113"/>
      <c r="AH16" s="36"/>
      <c r="AI16" s="108"/>
      <c r="AJ16" s="108"/>
      <c r="AK16" s="103"/>
      <c r="AL16" s="113"/>
      <c r="AM16" s="36"/>
      <c r="AN16" s="108"/>
      <c r="AO16" s="108"/>
      <c r="AP16" s="103"/>
    </row>
    <row r="17" customFormat="false" ht="11.25" hidden="false" customHeight="true" outlineLevel="0" collapsed="false">
      <c r="A17" s="180" t="n">
        <f aca="false">IF(B17&gt;0,IF(C17&gt;0,MAX($A$5:A15)+1," ")," ")</f>
        <v>5</v>
      </c>
      <c r="B17" s="112" t="s">
        <v>380</v>
      </c>
      <c r="C17" s="113" t="n">
        <v>10</v>
      </c>
      <c r="D17" s="36" t="s">
        <v>272</v>
      </c>
      <c r="E17" s="108" t="n">
        <v>100</v>
      </c>
      <c r="F17" s="108" t="n">
        <f aca="false">IF(ISBLANK(C17),"",C17*E17)</f>
        <v>1000</v>
      </c>
      <c r="G17" s="103"/>
      <c r="H17" s="113" t="n">
        <v>10</v>
      </c>
      <c r="I17" s="36" t="s">
        <v>272</v>
      </c>
      <c r="J17" s="108" t="n">
        <v>100</v>
      </c>
      <c r="K17" s="108" t="n">
        <f aca="false">IF(ISBLANK(H17),"",H17*J17)</f>
        <v>1000</v>
      </c>
      <c r="L17" s="103"/>
      <c r="M17" s="113" t="n">
        <v>10</v>
      </c>
      <c r="N17" s="36" t="s">
        <v>272</v>
      </c>
      <c r="O17" s="108" t="n">
        <v>100</v>
      </c>
      <c r="P17" s="108" t="n">
        <f aca="false">IF(ISBLANK(M17),"",M17*O17)</f>
        <v>1000</v>
      </c>
      <c r="Q17" s="103"/>
      <c r="R17" s="113" t="n">
        <v>10</v>
      </c>
      <c r="S17" s="36" t="s">
        <v>272</v>
      </c>
      <c r="T17" s="108" t="n">
        <v>100</v>
      </c>
      <c r="U17" s="108" t="n">
        <f aca="false">IF(ISBLANK(R17),"",R17*T17)</f>
        <v>1000</v>
      </c>
      <c r="V17" s="103"/>
      <c r="W17" s="113"/>
      <c r="X17" s="36" t="s">
        <v>272</v>
      </c>
      <c r="Y17" s="108"/>
      <c r="Z17" s="108" t="str">
        <f aca="false">IF(ISBLANK(W17),"",W17*Y17)</f>
        <v/>
      </c>
      <c r="AA17" s="103"/>
      <c r="AB17" s="113"/>
      <c r="AC17" s="36" t="s">
        <v>272</v>
      </c>
      <c r="AD17" s="108"/>
      <c r="AE17" s="108" t="str">
        <f aca="false">IF(ISBLANK(AB17),"",AB17*AD17)</f>
        <v/>
      </c>
      <c r="AF17" s="103"/>
      <c r="AG17" s="113"/>
      <c r="AH17" s="36" t="s">
        <v>272</v>
      </c>
      <c r="AI17" s="108"/>
      <c r="AJ17" s="108" t="str">
        <f aca="false">IF(ISBLANK(AG17),"",AG17*AI17)</f>
        <v/>
      </c>
      <c r="AK17" s="103"/>
      <c r="AL17" s="113"/>
      <c r="AM17" s="36" t="s">
        <v>272</v>
      </c>
      <c r="AN17" s="108"/>
      <c r="AO17" s="108" t="str">
        <f aca="false">IF(ISBLANK(AL17),"",AL17*AN17)</f>
        <v/>
      </c>
      <c r="AP17" s="103"/>
    </row>
    <row r="18" customFormat="false" ht="11.25" hidden="false" customHeight="true" outlineLevel="0" collapsed="false">
      <c r="A18" s="180" t="str">
        <f aca="false">IF(B18&gt;0,IF(C18&gt;0,MAX($A$5:A17)+1," ")," ")</f>
        <v> </v>
      </c>
      <c r="B18" s="112"/>
      <c r="C18" s="113"/>
      <c r="D18" s="36"/>
      <c r="E18" s="108"/>
      <c r="F18" s="108"/>
      <c r="G18" s="103"/>
      <c r="H18" s="113"/>
      <c r="I18" s="36"/>
      <c r="J18" s="108"/>
      <c r="K18" s="108"/>
      <c r="L18" s="103"/>
      <c r="M18" s="113"/>
      <c r="N18" s="36"/>
      <c r="O18" s="108"/>
      <c r="P18" s="108"/>
      <c r="Q18" s="103"/>
      <c r="R18" s="113"/>
      <c r="S18" s="36"/>
      <c r="T18" s="108"/>
      <c r="U18" s="108"/>
      <c r="V18" s="103"/>
      <c r="W18" s="113"/>
      <c r="X18" s="36"/>
      <c r="Y18" s="108"/>
      <c r="Z18" s="108"/>
      <c r="AA18" s="103"/>
      <c r="AB18" s="113"/>
      <c r="AC18" s="36"/>
      <c r="AD18" s="108"/>
      <c r="AE18" s="108"/>
      <c r="AF18" s="103"/>
      <c r="AG18" s="113"/>
      <c r="AH18" s="36"/>
      <c r="AI18" s="108"/>
      <c r="AJ18" s="108"/>
      <c r="AK18" s="103"/>
      <c r="AL18" s="113"/>
      <c r="AM18" s="36"/>
      <c r="AN18" s="108"/>
      <c r="AO18" s="108"/>
      <c r="AP18" s="103"/>
    </row>
    <row r="19" customFormat="false" ht="11.25" hidden="false" customHeight="true" outlineLevel="0" collapsed="false">
      <c r="A19" s="180" t="n">
        <f aca="false">IF(B19&gt;0,IF(C19&gt;0,MAX($A$5:A18)+1," ")," ")</f>
        <v>6</v>
      </c>
      <c r="B19" s="112" t="s">
        <v>381</v>
      </c>
      <c r="C19" s="113" t="n">
        <v>10</v>
      </c>
      <c r="D19" s="36" t="s">
        <v>116</v>
      </c>
      <c r="E19" s="108" t="n">
        <v>100</v>
      </c>
      <c r="F19" s="108" t="n">
        <f aca="false">IF(ISBLANK(C19),"",C19*E19)</f>
        <v>1000</v>
      </c>
      <c r="G19" s="103"/>
      <c r="H19" s="113" t="n">
        <v>10</v>
      </c>
      <c r="I19" s="36" t="s">
        <v>116</v>
      </c>
      <c r="J19" s="108" t="n">
        <v>100</v>
      </c>
      <c r="K19" s="108" t="n">
        <f aca="false">IF(ISBLANK(H19),"",H19*J19)</f>
        <v>1000</v>
      </c>
      <c r="L19" s="103"/>
      <c r="M19" s="113" t="n">
        <v>10</v>
      </c>
      <c r="N19" s="36" t="s">
        <v>116</v>
      </c>
      <c r="O19" s="108" t="n">
        <v>100</v>
      </c>
      <c r="P19" s="108" t="n">
        <f aca="false">IF(ISBLANK(M19),"",M19*O19)</f>
        <v>1000</v>
      </c>
      <c r="Q19" s="103"/>
      <c r="R19" s="113" t="n">
        <v>10</v>
      </c>
      <c r="S19" s="36" t="s">
        <v>116</v>
      </c>
      <c r="T19" s="108" t="n">
        <v>100</v>
      </c>
      <c r="U19" s="108" t="n">
        <f aca="false">IF(ISBLANK(R19),"",R19*T19)</f>
        <v>1000</v>
      </c>
      <c r="V19" s="103"/>
      <c r="W19" s="113"/>
      <c r="X19" s="36" t="s">
        <v>116</v>
      </c>
      <c r="Y19" s="108"/>
      <c r="Z19" s="108" t="str">
        <f aca="false">IF(ISBLANK(W19),"",W19*Y19)</f>
        <v/>
      </c>
      <c r="AA19" s="103"/>
      <c r="AB19" s="113"/>
      <c r="AC19" s="36" t="s">
        <v>116</v>
      </c>
      <c r="AD19" s="108"/>
      <c r="AE19" s="108" t="str">
        <f aca="false">IF(ISBLANK(AB19),"",AB19*AD19)</f>
        <v/>
      </c>
      <c r="AF19" s="103"/>
      <c r="AG19" s="113"/>
      <c r="AH19" s="36" t="s">
        <v>116</v>
      </c>
      <c r="AI19" s="108"/>
      <c r="AJ19" s="108" t="str">
        <f aca="false">IF(ISBLANK(AG19),"",AG19*AI19)</f>
        <v/>
      </c>
      <c r="AK19" s="103"/>
      <c r="AL19" s="113"/>
      <c r="AM19" s="36" t="s">
        <v>116</v>
      </c>
      <c r="AN19" s="108"/>
      <c r="AO19" s="108" t="str">
        <f aca="false">IF(ISBLANK(AL19),"",AL19*AN19)</f>
        <v/>
      </c>
      <c r="AP19" s="103"/>
    </row>
    <row r="20" customFormat="false" ht="11.25" hidden="false" customHeight="true" outlineLevel="0" collapsed="false">
      <c r="A20" s="180" t="str">
        <f aca="false">IF(B20&gt;0,IF(C20&gt;0,MAX($A$5:A19)+1," ")," ")</f>
        <v> </v>
      </c>
      <c r="B20" s="112"/>
      <c r="C20" s="113"/>
      <c r="D20" s="36"/>
      <c r="E20" s="108"/>
      <c r="F20" s="108"/>
      <c r="G20" s="103"/>
      <c r="H20" s="113"/>
      <c r="I20" s="36"/>
      <c r="J20" s="108"/>
      <c r="K20" s="108"/>
      <c r="L20" s="103"/>
      <c r="M20" s="113"/>
      <c r="N20" s="36"/>
      <c r="O20" s="108"/>
      <c r="P20" s="108"/>
      <c r="Q20" s="103"/>
      <c r="R20" s="113"/>
      <c r="S20" s="36"/>
      <c r="T20" s="108"/>
      <c r="U20" s="108"/>
      <c r="V20" s="103"/>
      <c r="W20" s="113"/>
      <c r="X20" s="36"/>
      <c r="Y20" s="108"/>
      <c r="Z20" s="108"/>
      <c r="AA20" s="103"/>
      <c r="AB20" s="113"/>
      <c r="AC20" s="36"/>
      <c r="AD20" s="108"/>
      <c r="AE20" s="108"/>
      <c r="AF20" s="103"/>
      <c r="AG20" s="113"/>
      <c r="AH20" s="36"/>
      <c r="AI20" s="108"/>
      <c r="AJ20" s="108"/>
      <c r="AK20" s="103"/>
      <c r="AL20" s="113"/>
      <c r="AM20" s="36"/>
      <c r="AN20" s="108"/>
      <c r="AO20" s="108"/>
      <c r="AP20" s="103"/>
    </row>
    <row r="21" customFormat="false" ht="11.25" hidden="false" customHeight="true" outlineLevel="0" collapsed="false">
      <c r="A21" s="180" t="n">
        <f aca="false">IF(B21&gt;0,IF(C21&gt;0,MAX($A$5:A20)+1," ")," ")</f>
        <v>7</v>
      </c>
      <c r="B21" s="112" t="s">
        <v>382</v>
      </c>
      <c r="C21" s="113" t="n">
        <v>10</v>
      </c>
      <c r="D21" s="36" t="s">
        <v>116</v>
      </c>
      <c r="E21" s="108" t="n">
        <v>100</v>
      </c>
      <c r="F21" s="108" t="n">
        <f aca="false">IF(ISBLANK(C21),"",C21*E21)</f>
        <v>1000</v>
      </c>
      <c r="G21" s="103"/>
      <c r="H21" s="113" t="n">
        <v>10</v>
      </c>
      <c r="I21" s="36" t="s">
        <v>116</v>
      </c>
      <c r="J21" s="108" t="n">
        <v>100</v>
      </c>
      <c r="K21" s="108" t="n">
        <f aca="false">IF(ISBLANK(H21),"",H21*J21)</f>
        <v>1000</v>
      </c>
      <c r="L21" s="103"/>
      <c r="M21" s="113" t="n">
        <v>10</v>
      </c>
      <c r="N21" s="36" t="s">
        <v>116</v>
      </c>
      <c r="O21" s="108" t="n">
        <v>100</v>
      </c>
      <c r="P21" s="108" t="n">
        <f aca="false">IF(ISBLANK(M21),"",M21*O21)</f>
        <v>1000</v>
      </c>
      <c r="Q21" s="103"/>
      <c r="R21" s="113" t="n">
        <v>10</v>
      </c>
      <c r="S21" s="36" t="s">
        <v>116</v>
      </c>
      <c r="T21" s="108" t="n">
        <v>100</v>
      </c>
      <c r="U21" s="108" t="n">
        <f aca="false">IF(ISBLANK(R21),"",R21*T21)</f>
        <v>1000</v>
      </c>
      <c r="V21" s="103"/>
      <c r="W21" s="113"/>
      <c r="X21" s="36" t="s">
        <v>116</v>
      </c>
      <c r="Y21" s="108"/>
      <c r="Z21" s="108" t="str">
        <f aca="false">IF(ISBLANK(W21),"",W21*Y21)</f>
        <v/>
      </c>
      <c r="AA21" s="103"/>
      <c r="AB21" s="113"/>
      <c r="AC21" s="36" t="s">
        <v>116</v>
      </c>
      <c r="AD21" s="108"/>
      <c r="AE21" s="108" t="str">
        <f aca="false">IF(ISBLANK(AB21),"",AB21*AD21)</f>
        <v/>
      </c>
      <c r="AF21" s="103"/>
      <c r="AG21" s="113"/>
      <c r="AH21" s="36" t="s">
        <v>116</v>
      </c>
      <c r="AI21" s="108"/>
      <c r="AJ21" s="108" t="str">
        <f aca="false">IF(ISBLANK(AG21),"",AG21*AI21)</f>
        <v/>
      </c>
      <c r="AK21" s="103"/>
      <c r="AL21" s="113"/>
      <c r="AM21" s="36" t="s">
        <v>116</v>
      </c>
      <c r="AN21" s="108"/>
      <c r="AO21" s="108" t="str">
        <f aca="false">IF(ISBLANK(AL21),"",AL21*AN21)</f>
        <v/>
      </c>
      <c r="AP21" s="103"/>
    </row>
    <row r="22" customFormat="false" ht="11.25" hidden="false" customHeight="true" outlineLevel="0" collapsed="false">
      <c r="A22" s="180" t="str">
        <f aca="false">IF(B22&gt;0,IF(C22&gt;0,MAX($A$5:A21)+1," ")," ")</f>
        <v> </v>
      </c>
      <c r="B22" s="112"/>
      <c r="C22" s="113"/>
      <c r="D22" s="36"/>
      <c r="E22" s="108"/>
      <c r="F22" s="108"/>
      <c r="G22" s="103"/>
      <c r="H22" s="113"/>
      <c r="I22" s="36"/>
      <c r="J22" s="108"/>
      <c r="K22" s="108"/>
      <c r="L22" s="103"/>
      <c r="M22" s="113"/>
      <c r="N22" s="36"/>
      <c r="O22" s="108"/>
      <c r="P22" s="108"/>
      <c r="Q22" s="103"/>
      <c r="R22" s="113"/>
      <c r="S22" s="36"/>
      <c r="T22" s="108"/>
      <c r="U22" s="108"/>
      <c r="V22" s="103"/>
      <c r="W22" s="113"/>
      <c r="X22" s="36"/>
      <c r="Y22" s="108"/>
      <c r="Z22" s="108"/>
      <c r="AA22" s="103"/>
      <c r="AB22" s="113"/>
      <c r="AC22" s="36"/>
      <c r="AD22" s="108"/>
      <c r="AE22" s="108"/>
      <c r="AF22" s="103"/>
      <c r="AG22" s="113"/>
      <c r="AH22" s="36"/>
      <c r="AI22" s="108"/>
      <c r="AJ22" s="108"/>
      <c r="AK22" s="103"/>
      <c r="AL22" s="113"/>
      <c r="AM22" s="36"/>
      <c r="AN22" s="108"/>
      <c r="AO22" s="108"/>
      <c r="AP22" s="103"/>
    </row>
    <row r="23" customFormat="false" ht="11.25" hidden="false" customHeight="true" outlineLevel="0" collapsed="false">
      <c r="A23" s="180" t="n">
        <f aca="false">IF(B23&gt;0,IF(C23&gt;0,MAX($A$5:A22)+1," ")," ")</f>
        <v>8</v>
      </c>
      <c r="B23" s="112" t="s">
        <v>383</v>
      </c>
      <c r="C23" s="113" t="n">
        <v>10</v>
      </c>
      <c r="D23" s="36" t="s">
        <v>116</v>
      </c>
      <c r="E23" s="108" t="n">
        <v>100</v>
      </c>
      <c r="F23" s="108" t="n">
        <f aca="false">IF(ISBLANK(C23),"",C23*E23)</f>
        <v>1000</v>
      </c>
      <c r="G23" s="103"/>
      <c r="H23" s="113" t="n">
        <v>10</v>
      </c>
      <c r="I23" s="36" t="s">
        <v>116</v>
      </c>
      <c r="J23" s="108" t="n">
        <v>100</v>
      </c>
      <c r="K23" s="108" t="n">
        <f aca="false">IF(ISBLANK(H23),"",H23*J23)</f>
        <v>1000</v>
      </c>
      <c r="L23" s="103"/>
      <c r="M23" s="113" t="n">
        <v>10</v>
      </c>
      <c r="N23" s="36" t="s">
        <v>116</v>
      </c>
      <c r="O23" s="108" t="n">
        <v>100</v>
      </c>
      <c r="P23" s="108" t="n">
        <f aca="false">IF(ISBLANK(M23),"",M23*O23)</f>
        <v>1000</v>
      </c>
      <c r="Q23" s="103"/>
      <c r="R23" s="113" t="n">
        <v>10</v>
      </c>
      <c r="S23" s="36" t="s">
        <v>116</v>
      </c>
      <c r="T23" s="108" t="n">
        <v>100</v>
      </c>
      <c r="U23" s="108" t="n">
        <f aca="false">IF(ISBLANK(R23),"",R23*T23)</f>
        <v>1000</v>
      </c>
      <c r="V23" s="103"/>
      <c r="W23" s="113"/>
      <c r="X23" s="36" t="s">
        <v>116</v>
      </c>
      <c r="Y23" s="108"/>
      <c r="Z23" s="108" t="str">
        <f aca="false">IF(ISBLANK(W23),"",W23*Y23)</f>
        <v/>
      </c>
      <c r="AA23" s="103"/>
      <c r="AB23" s="113"/>
      <c r="AC23" s="36" t="s">
        <v>116</v>
      </c>
      <c r="AD23" s="108"/>
      <c r="AE23" s="108" t="str">
        <f aca="false">IF(ISBLANK(AB23),"",AB23*AD23)</f>
        <v/>
      </c>
      <c r="AF23" s="103"/>
      <c r="AG23" s="113"/>
      <c r="AH23" s="36" t="s">
        <v>116</v>
      </c>
      <c r="AI23" s="108"/>
      <c r="AJ23" s="108" t="str">
        <f aca="false">IF(ISBLANK(AG23),"",AG23*AI23)</f>
        <v/>
      </c>
      <c r="AK23" s="103"/>
      <c r="AL23" s="113"/>
      <c r="AM23" s="36" t="s">
        <v>116</v>
      </c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80" t="str">
        <f aca="false">IF(B24&gt;0,IF(C24&gt;0,MAX($A$5:A23)+1," ")," ")</f>
        <v> </v>
      </c>
      <c r="B24" s="112"/>
      <c r="C24" s="113"/>
      <c r="D24" s="36"/>
      <c r="E24" s="108"/>
      <c r="F24" s="108"/>
      <c r="G24" s="103"/>
      <c r="H24" s="113"/>
      <c r="I24" s="36"/>
      <c r="J24" s="108"/>
      <c r="K24" s="108"/>
      <c r="L24" s="103"/>
      <c r="M24" s="113"/>
      <c r="N24" s="36"/>
      <c r="O24" s="108"/>
      <c r="P24" s="108"/>
      <c r="Q24" s="103"/>
      <c r="R24" s="113"/>
      <c r="S24" s="36"/>
      <c r="T24" s="108"/>
      <c r="U24" s="108"/>
      <c r="V24" s="103"/>
      <c r="W24" s="113"/>
      <c r="X24" s="36"/>
      <c r="Y24" s="108"/>
      <c r="Z24" s="108"/>
      <c r="AA24" s="103"/>
      <c r="AB24" s="113"/>
      <c r="AC24" s="36"/>
      <c r="AD24" s="108"/>
      <c r="AE24" s="108"/>
      <c r="AF24" s="103"/>
      <c r="AG24" s="113"/>
      <c r="AH24" s="36"/>
      <c r="AI24" s="108"/>
      <c r="AJ24" s="108"/>
      <c r="AK24" s="103"/>
      <c r="AL24" s="113"/>
      <c r="AM24" s="36"/>
      <c r="AN24" s="108"/>
      <c r="AO24" s="108"/>
      <c r="AP24" s="103"/>
    </row>
    <row r="25" customFormat="false" ht="11.25" hidden="false" customHeight="true" outlineLevel="0" collapsed="false">
      <c r="A25" s="180" t="n">
        <f aca="false">IF(B25&gt;0,IF(C25&gt;0,MAX($A$5:A24)+1," ")," ")</f>
        <v>9</v>
      </c>
      <c r="B25" s="112" t="s">
        <v>384</v>
      </c>
      <c r="C25" s="113" t="n">
        <v>10</v>
      </c>
      <c r="D25" s="36" t="s">
        <v>116</v>
      </c>
      <c r="E25" s="108" t="n">
        <v>100</v>
      </c>
      <c r="F25" s="108" t="n">
        <f aca="false">IF(ISBLANK(C25),"",C25*E25)</f>
        <v>1000</v>
      </c>
      <c r="G25" s="103"/>
      <c r="H25" s="113" t="n">
        <v>10</v>
      </c>
      <c r="I25" s="36" t="s">
        <v>116</v>
      </c>
      <c r="J25" s="108" t="n">
        <v>100</v>
      </c>
      <c r="K25" s="108" t="n">
        <f aca="false">IF(ISBLANK(H25),"",H25*J25)</f>
        <v>1000</v>
      </c>
      <c r="L25" s="103"/>
      <c r="M25" s="113" t="n">
        <v>10</v>
      </c>
      <c r="N25" s="36" t="s">
        <v>116</v>
      </c>
      <c r="O25" s="108" t="n">
        <v>100</v>
      </c>
      <c r="P25" s="108" t="n">
        <f aca="false">IF(ISBLANK(M25),"",M25*O25)</f>
        <v>1000</v>
      </c>
      <c r="Q25" s="103"/>
      <c r="R25" s="113" t="n">
        <v>10</v>
      </c>
      <c r="S25" s="36" t="s">
        <v>116</v>
      </c>
      <c r="T25" s="108" t="n">
        <v>100</v>
      </c>
      <c r="U25" s="108" t="n">
        <f aca="false">IF(ISBLANK(R25),"",R25*T25)</f>
        <v>1000</v>
      </c>
      <c r="V25" s="103"/>
      <c r="W25" s="113"/>
      <c r="X25" s="36" t="s">
        <v>116</v>
      </c>
      <c r="Y25" s="108"/>
      <c r="Z25" s="108" t="str">
        <f aca="false">IF(ISBLANK(W25),"",W25*Y25)</f>
        <v/>
      </c>
      <c r="AA25" s="103"/>
      <c r="AB25" s="113"/>
      <c r="AC25" s="36" t="s">
        <v>116</v>
      </c>
      <c r="AD25" s="108"/>
      <c r="AE25" s="108" t="str">
        <f aca="false">IF(ISBLANK(AB25),"",AB25*AD25)</f>
        <v/>
      </c>
      <c r="AF25" s="103"/>
      <c r="AG25" s="113"/>
      <c r="AH25" s="36" t="s">
        <v>116</v>
      </c>
      <c r="AI25" s="108"/>
      <c r="AJ25" s="108" t="str">
        <f aca="false">IF(ISBLANK(AG25),"",AG25*AI25)</f>
        <v/>
      </c>
      <c r="AK25" s="103"/>
      <c r="AL25" s="113"/>
      <c r="AM25" s="36" t="s">
        <v>116</v>
      </c>
      <c r="AN25" s="108"/>
      <c r="AO25" s="108" t="str">
        <f aca="false">IF(ISBLANK(AL25),"",AL25*AN25)</f>
        <v/>
      </c>
      <c r="AP25" s="103"/>
    </row>
    <row r="26" customFormat="false" ht="11.25" hidden="false" customHeight="true" outlineLevel="0" collapsed="false">
      <c r="A26" s="180" t="str">
        <f aca="false">IF(B26&gt;0,IF(C26&gt;0,MAX($A$5:A25)+1," ")," ")</f>
        <v> </v>
      </c>
      <c r="B26" s="112"/>
      <c r="C26" s="113"/>
      <c r="D26" s="36"/>
      <c r="E26" s="108"/>
      <c r="F26" s="108"/>
      <c r="G26" s="103"/>
      <c r="H26" s="113"/>
      <c r="I26" s="36"/>
      <c r="J26" s="108"/>
      <c r="K26" s="108"/>
      <c r="L26" s="103"/>
      <c r="M26" s="113"/>
      <c r="N26" s="36"/>
      <c r="O26" s="108"/>
      <c r="P26" s="108"/>
      <c r="Q26" s="103"/>
      <c r="R26" s="113"/>
      <c r="S26" s="36"/>
      <c r="T26" s="108"/>
      <c r="U26" s="108"/>
      <c r="V26" s="103"/>
      <c r="W26" s="113"/>
      <c r="X26" s="36"/>
      <c r="Y26" s="108"/>
      <c r="Z26" s="108"/>
      <c r="AA26" s="103"/>
      <c r="AB26" s="113"/>
      <c r="AC26" s="36"/>
      <c r="AD26" s="108"/>
      <c r="AE26" s="108"/>
      <c r="AF26" s="103"/>
      <c r="AG26" s="113"/>
      <c r="AH26" s="36"/>
      <c r="AI26" s="108"/>
      <c r="AJ26" s="108"/>
      <c r="AK26" s="103"/>
      <c r="AL26" s="113"/>
      <c r="AM26" s="36"/>
      <c r="AN26" s="108"/>
      <c r="AO26" s="108"/>
      <c r="AP26" s="103"/>
    </row>
    <row r="27" customFormat="false" ht="11.25" hidden="false" customHeight="true" outlineLevel="0" collapsed="false">
      <c r="A27" s="180" t="n">
        <f aca="false">IF(B27&gt;0,IF(C27&gt;0,MAX($A$5:A26)+1," ")," ")</f>
        <v>10</v>
      </c>
      <c r="B27" s="112" t="s">
        <v>385</v>
      </c>
      <c r="C27" s="113" t="n">
        <v>10</v>
      </c>
      <c r="D27" s="36" t="s">
        <v>116</v>
      </c>
      <c r="E27" s="108" t="n">
        <v>100</v>
      </c>
      <c r="F27" s="108" t="n">
        <f aca="false">IF(ISBLANK(C27),"",C27*E27)</f>
        <v>1000</v>
      </c>
      <c r="G27" s="103"/>
      <c r="H27" s="113" t="n">
        <v>10</v>
      </c>
      <c r="I27" s="36" t="s">
        <v>116</v>
      </c>
      <c r="J27" s="108" t="n">
        <v>100</v>
      </c>
      <c r="K27" s="108" t="n">
        <f aca="false">IF(ISBLANK(H27),"",H27*J27)</f>
        <v>1000</v>
      </c>
      <c r="L27" s="103"/>
      <c r="M27" s="113" t="n">
        <v>10</v>
      </c>
      <c r="N27" s="36" t="s">
        <v>116</v>
      </c>
      <c r="O27" s="108" t="n">
        <v>100</v>
      </c>
      <c r="P27" s="108" t="n">
        <f aca="false">IF(ISBLANK(M27),"",M27*O27)</f>
        <v>1000</v>
      </c>
      <c r="Q27" s="103"/>
      <c r="R27" s="113" t="n">
        <v>10</v>
      </c>
      <c r="S27" s="36" t="s">
        <v>116</v>
      </c>
      <c r="T27" s="108" t="n">
        <v>100</v>
      </c>
      <c r="U27" s="108" t="n">
        <f aca="false">IF(ISBLANK(R27),"",R27*T27)</f>
        <v>1000</v>
      </c>
      <c r="V27" s="103"/>
      <c r="W27" s="113"/>
      <c r="X27" s="36" t="s">
        <v>116</v>
      </c>
      <c r="Y27" s="108"/>
      <c r="Z27" s="108" t="str">
        <f aca="false">IF(ISBLANK(W27),"",W27*Y27)</f>
        <v/>
      </c>
      <c r="AA27" s="103"/>
      <c r="AB27" s="113"/>
      <c r="AC27" s="36" t="s">
        <v>116</v>
      </c>
      <c r="AD27" s="108"/>
      <c r="AE27" s="108" t="str">
        <f aca="false">IF(ISBLANK(AB27),"",AB27*AD27)</f>
        <v/>
      </c>
      <c r="AF27" s="103"/>
      <c r="AG27" s="113"/>
      <c r="AH27" s="36" t="s">
        <v>116</v>
      </c>
      <c r="AI27" s="108"/>
      <c r="AJ27" s="108" t="str">
        <f aca="false">IF(ISBLANK(AG27),"",AG27*AI27)</f>
        <v/>
      </c>
      <c r="AK27" s="103"/>
      <c r="AL27" s="113"/>
      <c r="AM27" s="36" t="s">
        <v>116</v>
      </c>
      <c r="AN27" s="108"/>
      <c r="AO27" s="108" t="str">
        <f aca="false">IF(ISBLANK(AL27),"",AL27*AN27)</f>
        <v/>
      </c>
      <c r="AP27" s="103"/>
    </row>
    <row r="28" customFormat="false" ht="11.25" hidden="false" customHeight="true" outlineLevel="0" collapsed="false">
      <c r="A28" s="180" t="str">
        <f aca="false">IF(B28&gt;0,IF(C28&gt;0,MAX($A$5:A27)+1," ")," ")</f>
        <v> </v>
      </c>
      <c r="B28" s="112"/>
      <c r="C28" s="113"/>
      <c r="D28" s="36"/>
      <c r="E28" s="108"/>
      <c r="F28" s="108"/>
      <c r="G28" s="103"/>
      <c r="H28" s="113"/>
      <c r="I28" s="36"/>
      <c r="J28" s="108"/>
      <c r="K28" s="108"/>
      <c r="L28" s="103"/>
      <c r="M28" s="113"/>
      <c r="N28" s="36"/>
      <c r="O28" s="108"/>
      <c r="P28" s="108"/>
      <c r="Q28" s="103"/>
      <c r="R28" s="113"/>
      <c r="S28" s="36"/>
      <c r="T28" s="108"/>
      <c r="U28" s="108"/>
      <c r="V28" s="103"/>
      <c r="W28" s="113"/>
      <c r="X28" s="36"/>
      <c r="Y28" s="108"/>
      <c r="Z28" s="108"/>
      <c r="AA28" s="103"/>
      <c r="AB28" s="113"/>
      <c r="AC28" s="36"/>
      <c r="AD28" s="108"/>
      <c r="AE28" s="108"/>
      <c r="AF28" s="103"/>
      <c r="AG28" s="113"/>
      <c r="AH28" s="36"/>
      <c r="AI28" s="108"/>
      <c r="AJ28" s="108"/>
      <c r="AK28" s="103"/>
      <c r="AL28" s="113"/>
      <c r="AM28" s="36"/>
      <c r="AN28" s="108"/>
      <c r="AO28" s="108"/>
      <c r="AP28" s="103"/>
    </row>
    <row r="29" customFormat="false" ht="11.25" hidden="false" customHeight="true" outlineLevel="0" collapsed="false">
      <c r="A29" s="180" t="n">
        <f aca="false">IF(B29&gt;0,IF(C29&gt;0,MAX($A$5:A28)+1," ")," ")</f>
        <v>11</v>
      </c>
      <c r="B29" s="112" t="s">
        <v>386</v>
      </c>
      <c r="C29" s="113" t="n">
        <v>10</v>
      </c>
      <c r="D29" s="36" t="s">
        <v>329</v>
      </c>
      <c r="E29" s="108" t="n">
        <v>100</v>
      </c>
      <c r="F29" s="108" t="n">
        <f aca="false">IF(ISBLANK(C29),"",C29*E29)</f>
        <v>1000</v>
      </c>
      <c r="G29" s="103"/>
      <c r="H29" s="113" t="n">
        <v>10</v>
      </c>
      <c r="I29" s="36" t="s">
        <v>329</v>
      </c>
      <c r="J29" s="108" t="n">
        <v>100</v>
      </c>
      <c r="K29" s="108" t="n">
        <f aca="false">IF(ISBLANK(H29),"",H29*J29)</f>
        <v>1000</v>
      </c>
      <c r="L29" s="103"/>
      <c r="M29" s="113" t="n">
        <v>10</v>
      </c>
      <c r="N29" s="36" t="s">
        <v>329</v>
      </c>
      <c r="O29" s="108" t="n">
        <v>100</v>
      </c>
      <c r="P29" s="108" t="n">
        <f aca="false">IF(ISBLANK(M29),"",M29*O29)</f>
        <v>1000</v>
      </c>
      <c r="Q29" s="103"/>
      <c r="R29" s="113" t="n">
        <v>10</v>
      </c>
      <c r="S29" s="36" t="s">
        <v>329</v>
      </c>
      <c r="T29" s="108" t="n">
        <v>100</v>
      </c>
      <c r="U29" s="108" t="n">
        <f aca="false">IF(ISBLANK(R29),"",R29*T29)</f>
        <v>1000</v>
      </c>
      <c r="V29" s="103"/>
      <c r="W29" s="113"/>
      <c r="X29" s="36" t="s">
        <v>329</v>
      </c>
      <c r="Y29" s="108"/>
      <c r="Z29" s="108" t="str">
        <f aca="false">IF(ISBLANK(W29),"",W29*Y29)</f>
        <v/>
      </c>
      <c r="AA29" s="103"/>
      <c r="AB29" s="113"/>
      <c r="AC29" s="36" t="s">
        <v>329</v>
      </c>
      <c r="AD29" s="108"/>
      <c r="AE29" s="108" t="str">
        <f aca="false">IF(ISBLANK(AB29),"",AB29*AD29)</f>
        <v/>
      </c>
      <c r="AF29" s="103"/>
      <c r="AG29" s="113"/>
      <c r="AH29" s="36" t="s">
        <v>329</v>
      </c>
      <c r="AI29" s="108"/>
      <c r="AJ29" s="108" t="str">
        <f aca="false">IF(ISBLANK(AG29),"",AG29*AI29)</f>
        <v/>
      </c>
      <c r="AK29" s="103"/>
      <c r="AL29" s="113"/>
      <c r="AM29" s="36" t="s">
        <v>329</v>
      </c>
      <c r="AN29" s="108"/>
      <c r="AO29" s="108" t="str">
        <f aca="false">IF(ISBLANK(AL29),"",AL29*AN29)</f>
        <v/>
      </c>
      <c r="AP29" s="103"/>
    </row>
    <row r="30" customFormat="false" ht="11.25" hidden="false" customHeight="true" outlineLevel="0" collapsed="false">
      <c r="A30" s="180" t="str">
        <f aca="false">IF(B30&gt;0,IF(C30&gt;0,MAX($A$5:A29)+1," ")," ")</f>
        <v> </v>
      </c>
      <c r="B30" s="112"/>
      <c r="C30" s="113"/>
      <c r="D30" s="36"/>
      <c r="E30" s="108"/>
      <c r="F30" s="108"/>
      <c r="G30" s="103"/>
      <c r="H30" s="113"/>
      <c r="I30" s="36"/>
      <c r="J30" s="108"/>
      <c r="K30" s="108"/>
      <c r="L30" s="103"/>
      <c r="M30" s="113"/>
      <c r="N30" s="36"/>
      <c r="O30" s="108"/>
      <c r="P30" s="108"/>
      <c r="Q30" s="103"/>
      <c r="R30" s="113"/>
      <c r="S30" s="36"/>
      <c r="T30" s="108"/>
      <c r="U30" s="108"/>
      <c r="V30" s="103"/>
      <c r="W30" s="113"/>
      <c r="X30" s="36"/>
      <c r="Y30" s="108"/>
      <c r="Z30" s="108"/>
      <c r="AA30" s="103"/>
      <c r="AB30" s="113"/>
      <c r="AC30" s="36"/>
      <c r="AD30" s="108"/>
      <c r="AE30" s="108"/>
      <c r="AF30" s="103"/>
      <c r="AG30" s="113"/>
      <c r="AH30" s="36"/>
      <c r="AI30" s="108"/>
      <c r="AJ30" s="108"/>
      <c r="AK30" s="103"/>
      <c r="AL30" s="113"/>
      <c r="AM30" s="36"/>
      <c r="AN30" s="108"/>
      <c r="AO30" s="108"/>
      <c r="AP30" s="103"/>
    </row>
    <row r="31" customFormat="false" ht="11.25" hidden="false" customHeight="true" outlineLevel="0" collapsed="false">
      <c r="A31" s="180" t="n">
        <f aca="false">IF(B31&gt;0,IF(C31&gt;0,MAX($A$5:A30)+1," ")," ")</f>
        <v>12</v>
      </c>
      <c r="B31" s="112" t="s">
        <v>387</v>
      </c>
      <c r="C31" s="113" t="n">
        <v>10</v>
      </c>
      <c r="D31" s="36" t="s">
        <v>272</v>
      </c>
      <c r="E31" s="108" t="n">
        <v>100</v>
      </c>
      <c r="F31" s="108" t="n">
        <f aca="false">IF(ISBLANK(C31),"",C31*E31)</f>
        <v>1000</v>
      </c>
      <c r="G31" s="103"/>
      <c r="H31" s="113" t="n">
        <v>10</v>
      </c>
      <c r="I31" s="36" t="s">
        <v>272</v>
      </c>
      <c r="J31" s="108" t="n">
        <v>100</v>
      </c>
      <c r="K31" s="108" t="n">
        <f aca="false">IF(ISBLANK(H31),"",H31*J31)</f>
        <v>1000</v>
      </c>
      <c r="L31" s="103"/>
      <c r="M31" s="113" t="n">
        <v>10</v>
      </c>
      <c r="N31" s="36" t="s">
        <v>272</v>
      </c>
      <c r="O31" s="108" t="n">
        <v>100</v>
      </c>
      <c r="P31" s="108" t="n">
        <f aca="false">IF(ISBLANK(M31),"",M31*O31)</f>
        <v>1000</v>
      </c>
      <c r="Q31" s="103"/>
      <c r="R31" s="113" t="n">
        <v>10</v>
      </c>
      <c r="S31" s="36" t="s">
        <v>272</v>
      </c>
      <c r="T31" s="108" t="n">
        <v>100</v>
      </c>
      <c r="U31" s="108" t="n">
        <f aca="false">IF(ISBLANK(R31),"",R31*T31)</f>
        <v>1000</v>
      </c>
      <c r="V31" s="103"/>
      <c r="W31" s="113"/>
      <c r="X31" s="36" t="s">
        <v>272</v>
      </c>
      <c r="Y31" s="108"/>
      <c r="Z31" s="108" t="str">
        <f aca="false">IF(ISBLANK(W31),"",W31*Y31)</f>
        <v/>
      </c>
      <c r="AA31" s="103"/>
      <c r="AB31" s="113"/>
      <c r="AC31" s="36" t="s">
        <v>272</v>
      </c>
      <c r="AD31" s="108"/>
      <c r="AE31" s="108" t="str">
        <f aca="false">IF(ISBLANK(AB31),"",AB31*AD31)</f>
        <v/>
      </c>
      <c r="AF31" s="103"/>
      <c r="AG31" s="113"/>
      <c r="AH31" s="36" t="s">
        <v>272</v>
      </c>
      <c r="AI31" s="108"/>
      <c r="AJ31" s="108" t="str">
        <f aca="false">IF(ISBLANK(AG31),"",AG31*AI31)</f>
        <v/>
      </c>
      <c r="AK31" s="103"/>
      <c r="AL31" s="113"/>
      <c r="AM31" s="36" t="s">
        <v>272</v>
      </c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80" t="str">
        <f aca="false">IF(B32&gt;0,IF(C32&gt;0,MAX($A$5:A31)+1," ")," ")</f>
        <v> </v>
      </c>
      <c r="B32" s="112"/>
      <c r="C32" s="113"/>
      <c r="D32" s="36"/>
      <c r="E32" s="108"/>
      <c r="F32" s="108"/>
      <c r="G32" s="103"/>
      <c r="H32" s="113"/>
      <c r="I32" s="36"/>
      <c r="J32" s="108"/>
      <c r="K32" s="108"/>
      <c r="L32" s="103"/>
      <c r="M32" s="113"/>
      <c r="N32" s="36"/>
      <c r="O32" s="108"/>
      <c r="P32" s="108"/>
      <c r="Q32" s="103"/>
      <c r="R32" s="113"/>
      <c r="S32" s="36"/>
      <c r="T32" s="108"/>
      <c r="U32" s="108"/>
      <c r="V32" s="103"/>
      <c r="W32" s="113"/>
      <c r="X32" s="36"/>
      <c r="Y32" s="108"/>
      <c r="Z32" s="108"/>
      <c r="AA32" s="103"/>
      <c r="AB32" s="113"/>
      <c r="AC32" s="36"/>
      <c r="AD32" s="108"/>
      <c r="AE32" s="108"/>
      <c r="AF32" s="103"/>
      <c r="AG32" s="113"/>
      <c r="AH32" s="36"/>
      <c r="AI32" s="108"/>
      <c r="AJ32" s="108"/>
      <c r="AK32" s="103"/>
      <c r="AL32" s="113"/>
      <c r="AM32" s="36"/>
      <c r="AN32" s="108"/>
      <c r="AO32" s="108"/>
      <c r="AP32" s="103"/>
    </row>
    <row r="33" customFormat="false" ht="11.25" hidden="false" customHeight="true" outlineLevel="0" collapsed="false">
      <c r="A33" s="180" t="n">
        <f aca="false">IF(B33&gt;0,IF(C33&gt;0,MAX($A$5:A32)+1," ")," ")</f>
        <v>13</v>
      </c>
      <c r="B33" s="112" t="s">
        <v>388</v>
      </c>
      <c r="C33" s="113" t="n">
        <v>10</v>
      </c>
      <c r="D33" s="36" t="s">
        <v>272</v>
      </c>
      <c r="E33" s="108" t="n">
        <v>100</v>
      </c>
      <c r="F33" s="108" t="n">
        <f aca="false">IF(ISBLANK(C33),"",C33*E33)</f>
        <v>1000</v>
      </c>
      <c r="G33" s="103"/>
      <c r="H33" s="113" t="n">
        <v>10</v>
      </c>
      <c r="I33" s="36" t="s">
        <v>272</v>
      </c>
      <c r="J33" s="108" t="n">
        <v>100</v>
      </c>
      <c r="K33" s="108" t="n">
        <f aca="false">IF(ISBLANK(H33),"",H33*J33)</f>
        <v>1000</v>
      </c>
      <c r="L33" s="103"/>
      <c r="M33" s="113" t="n">
        <v>10</v>
      </c>
      <c r="N33" s="36" t="s">
        <v>272</v>
      </c>
      <c r="O33" s="108" t="n">
        <v>100</v>
      </c>
      <c r="P33" s="108" t="n">
        <f aca="false">IF(ISBLANK(M33),"",M33*O33)</f>
        <v>1000</v>
      </c>
      <c r="Q33" s="103"/>
      <c r="R33" s="113" t="n">
        <v>10</v>
      </c>
      <c r="S33" s="36" t="s">
        <v>272</v>
      </c>
      <c r="T33" s="108" t="n">
        <v>100</v>
      </c>
      <c r="U33" s="108" t="n">
        <f aca="false">IF(ISBLANK(R33),"",R33*T33)</f>
        <v>1000</v>
      </c>
      <c r="V33" s="103"/>
      <c r="W33" s="113"/>
      <c r="X33" s="36" t="s">
        <v>272</v>
      </c>
      <c r="Y33" s="108"/>
      <c r="Z33" s="108" t="str">
        <f aca="false">IF(ISBLANK(W33),"",W33*Y33)</f>
        <v/>
      </c>
      <c r="AA33" s="103"/>
      <c r="AB33" s="113"/>
      <c r="AC33" s="36" t="s">
        <v>272</v>
      </c>
      <c r="AD33" s="108"/>
      <c r="AE33" s="108" t="str">
        <f aca="false">IF(ISBLANK(AB33),"",AB33*AD33)</f>
        <v/>
      </c>
      <c r="AF33" s="103"/>
      <c r="AG33" s="113"/>
      <c r="AH33" s="36" t="s">
        <v>272</v>
      </c>
      <c r="AI33" s="108"/>
      <c r="AJ33" s="108" t="str">
        <f aca="false">IF(ISBLANK(AG33),"",AG33*AI33)</f>
        <v/>
      </c>
      <c r="AK33" s="103"/>
      <c r="AL33" s="113"/>
      <c r="AM33" s="36" t="s">
        <v>272</v>
      </c>
      <c r="AN33" s="108"/>
      <c r="AO33" s="108" t="str">
        <f aca="false">IF(ISBLANK(AL33),"",AL33*AN33)</f>
        <v/>
      </c>
      <c r="AP33" s="103"/>
    </row>
    <row r="34" customFormat="false" ht="11.25" hidden="false" customHeight="true" outlineLevel="0" collapsed="false">
      <c r="A34" s="180" t="str">
        <f aca="false">IF(B34&gt;0,IF(C34&gt;0,MAX($A$5:A33)+1," ")," ")</f>
        <v> </v>
      </c>
      <c r="B34" s="112"/>
      <c r="C34" s="113"/>
      <c r="D34" s="36"/>
      <c r="E34" s="108"/>
      <c r="F34" s="108"/>
      <c r="G34" s="103"/>
      <c r="H34" s="113"/>
      <c r="I34" s="36"/>
      <c r="J34" s="108"/>
      <c r="K34" s="108"/>
      <c r="L34" s="103"/>
      <c r="M34" s="113"/>
      <c r="N34" s="36"/>
      <c r="O34" s="108"/>
      <c r="P34" s="108"/>
      <c r="Q34" s="103"/>
      <c r="R34" s="113"/>
      <c r="S34" s="36"/>
      <c r="T34" s="108"/>
      <c r="U34" s="108"/>
      <c r="V34" s="103"/>
      <c r="W34" s="113"/>
      <c r="X34" s="36"/>
      <c r="Y34" s="108"/>
      <c r="Z34" s="108"/>
      <c r="AA34" s="103"/>
      <c r="AB34" s="113"/>
      <c r="AC34" s="36"/>
      <c r="AD34" s="108"/>
      <c r="AE34" s="108"/>
      <c r="AF34" s="103"/>
      <c r="AG34" s="113"/>
      <c r="AH34" s="36"/>
      <c r="AI34" s="108"/>
      <c r="AJ34" s="108"/>
      <c r="AK34" s="103"/>
      <c r="AL34" s="113"/>
      <c r="AM34" s="36"/>
      <c r="AN34" s="108"/>
      <c r="AO34" s="108"/>
      <c r="AP34" s="103"/>
    </row>
    <row r="35" customFormat="false" ht="11.25" hidden="false" customHeight="true" outlineLevel="0" collapsed="false">
      <c r="A35" s="180" t="n">
        <f aca="false">IF(B35&gt;0,IF(C35&gt;0,MAX($A$5:A34)+1," ")," ")</f>
        <v>14</v>
      </c>
      <c r="B35" s="112" t="s">
        <v>389</v>
      </c>
      <c r="C35" s="113" t="n">
        <v>10</v>
      </c>
      <c r="D35" s="36" t="s">
        <v>272</v>
      </c>
      <c r="E35" s="108" t="n">
        <v>100</v>
      </c>
      <c r="F35" s="108" t="n">
        <f aca="false">IF(ISBLANK(C35),"",C35*E35)</f>
        <v>1000</v>
      </c>
      <c r="G35" s="103"/>
      <c r="H35" s="113" t="n">
        <v>10</v>
      </c>
      <c r="I35" s="36" t="s">
        <v>272</v>
      </c>
      <c r="J35" s="108" t="n">
        <v>100</v>
      </c>
      <c r="K35" s="108" t="n">
        <f aca="false">IF(ISBLANK(H35),"",H35*J35)</f>
        <v>1000</v>
      </c>
      <c r="L35" s="103"/>
      <c r="M35" s="113" t="n">
        <v>10</v>
      </c>
      <c r="N35" s="36" t="s">
        <v>272</v>
      </c>
      <c r="O35" s="108" t="n">
        <v>100</v>
      </c>
      <c r="P35" s="108" t="n">
        <f aca="false">IF(ISBLANK(M35),"",M35*O35)</f>
        <v>1000</v>
      </c>
      <c r="Q35" s="103"/>
      <c r="R35" s="113" t="n">
        <v>10</v>
      </c>
      <c r="S35" s="36" t="s">
        <v>272</v>
      </c>
      <c r="T35" s="108" t="n">
        <v>100</v>
      </c>
      <c r="U35" s="108" t="n">
        <f aca="false">IF(ISBLANK(R35),"",R35*T35)</f>
        <v>1000</v>
      </c>
      <c r="V35" s="103"/>
      <c r="W35" s="113"/>
      <c r="X35" s="36" t="s">
        <v>272</v>
      </c>
      <c r="Y35" s="108"/>
      <c r="Z35" s="108" t="str">
        <f aca="false">IF(ISBLANK(W35),"",W35*Y35)</f>
        <v/>
      </c>
      <c r="AA35" s="103"/>
      <c r="AB35" s="113"/>
      <c r="AC35" s="36" t="s">
        <v>272</v>
      </c>
      <c r="AD35" s="108"/>
      <c r="AE35" s="108" t="str">
        <f aca="false">IF(ISBLANK(AB35),"",AB35*AD35)</f>
        <v/>
      </c>
      <c r="AF35" s="103"/>
      <c r="AG35" s="113"/>
      <c r="AH35" s="36" t="s">
        <v>272</v>
      </c>
      <c r="AI35" s="108"/>
      <c r="AJ35" s="108" t="str">
        <f aca="false">IF(ISBLANK(AG35),"",AG35*AI35)</f>
        <v/>
      </c>
      <c r="AK35" s="103"/>
      <c r="AL35" s="113"/>
      <c r="AM35" s="36" t="s">
        <v>272</v>
      </c>
      <c r="AN35" s="108"/>
      <c r="AO35" s="108" t="str">
        <f aca="false">IF(ISBLANK(AL35),"",AL35*AN35)</f>
        <v/>
      </c>
      <c r="AP35" s="103"/>
    </row>
    <row r="36" customFormat="false" ht="11.25" hidden="false" customHeight="true" outlineLevel="0" collapsed="false">
      <c r="A36" s="180" t="str">
        <f aca="false">IF(B36&gt;0,IF(C36&gt;0,MAX($A$5:A35)+1," ")," ")</f>
        <v> </v>
      </c>
      <c r="B36" s="112"/>
      <c r="C36" s="113"/>
      <c r="D36" s="36"/>
      <c r="E36" s="108"/>
      <c r="F36" s="108"/>
      <c r="G36" s="103"/>
      <c r="H36" s="113"/>
      <c r="I36" s="36"/>
      <c r="J36" s="108"/>
      <c r="K36" s="108"/>
      <c r="L36" s="103"/>
      <c r="M36" s="113"/>
      <c r="N36" s="36"/>
      <c r="O36" s="108"/>
      <c r="P36" s="108"/>
      <c r="Q36" s="103"/>
      <c r="R36" s="113"/>
      <c r="S36" s="36"/>
      <c r="T36" s="108"/>
      <c r="U36" s="108"/>
      <c r="V36" s="103"/>
      <c r="W36" s="113"/>
      <c r="X36" s="36"/>
      <c r="Y36" s="108"/>
      <c r="Z36" s="108"/>
      <c r="AA36" s="103"/>
      <c r="AB36" s="113"/>
      <c r="AC36" s="36"/>
      <c r="AD36" s="108"/>
      <c r="AE36" s="108"/>
      <c r="AF36" s="103"/>
      <c r="AG36" s="113"/>
      <c r="AH36" s="36"/>
      <c r="AI36" s="108"/>
      <c r="AJ36" s="108"/>
      <c r="AK36" s="103"/>
      <c r="AL36" s="113"/>
      <c r="AM36" s="36"/>
      <c r="AN36" s="108"/>
      <c r="AO36" s="108"/>
      <c r="AP36" s="103"/>
    </row>
    <row r="37" customFormat="false" ht="11.25" hidden="false" customHeight="true" outlineLevel="0" collapsed="false">
      <c r="A37" s="180" t="n">
        <f aca="false">IF(B37&gt;0,IF(C37&gt;0,MAX($A$5:A36)+1," ")," ")</f>
        <v>15</v>
      </c>
      <c r="B37" s="112" t="s">
        <v>390</v>
      </c>
      <c r="C37" s="113" t="n">
        <v>10</v>
      </c>
      <c r="D37" s="36" t="s">
        <v>116</v>
      </c>
      <c r="E37" s="108" t="n">
        <v>100</v>
      </c>
      <c r="F37" s="108" t="n">
        <f aca="false">IF(ISBLANK(C37),"",C37*E37)</f>
        <v>1000</v>
      </c>
      <c r="G37" s="103"/>
      <c r="H37" s="113" t="n">
        <v>10</v>
      </c>
      <c r="I37" s="36" t="s">
        <v>116</v>
      </c>
      <c r="J37" s="108" t="n">
        <v>100</v>
      </c>
      <c r="K37" s="108" t="n">
        <f aca="false">IF(ISBLANK(H37),"",H37*J37)</f>
        <v>1000</v>
      </c>
      <c r="L37" s="103"/>
      <c r="M37" s="113" t="n">
        <v>10</v>
      </c>
      <c r="N37" s="36" t="s">
        <v>116</v>
      </c>
      <c r="O37" s="108" t="n">
        <v>100</v>
      </c>
      <c r="P37" s="108" t="n">
        <f aca="false">IF(ISBLANK(M37),"",M37*O37)</f>
        <v>1000</v>
      </c>
      <c r="Q37" s="103"/>
      <c r="R37" s="113" t="n">
        <v>10</v>
      </c>
      <c r="S37" s="36" t="s">
        <v>116</v>
      </c>
      <c r="T37" s="108" t="n">
        <v>100</v>
      </c>
      <c r="U37" s="108" t="n">
        <f aca="false">IF(ISBLANK(R37),"",R37*T37)</f>
        <v>1000</v>
      </c>
      <c r="V37" s="103"/>
      <c r="W37" s="113"/>
      <c r="X37" s="36" t="s">
        <v>116</v>
      </c>
      <c r="Y37" s="108"/>
      <c r="Z37" s="108" t="str">
        <f aca="false">IF(ISBLANK(W37),"",W37*Y37)</f>
        <v/>
      </c>
      <c r="AA37" s="103"/>
      <c r="AB37" s="113"/>
      <c r="AC37" s="36" t="s">
        <v>116</v>
      </c>
      <c r="AD37" s="108"/>
      <c r="AE37" s="108" t="str">
        <f aca="false">IF(ISBLANK(AB37),"",AB37*AD37)</f>
        <v/>
      </c>
      <c r="AF37" s="103"/>
      <c r="AG37" s="113"/>
      <c r="AH37" s="36" t="s">
        <v>116</v>
      </c>
      <c r="AI37" s="108"/>
      <c r="AJ37" s="108" t="str">
        <f aca="false">IF(ISBLANK(AG37),"",AG37*AI37)</f>
        <v/>
      </c>
      <c r="AK37" s="103"/>
      <c r="AL37" s="113"/>
      <c r="AM37" s="36" t="s">
        <v>116</v>
      </c>
      <c r="AN37" s="108"/>
      <c r="AO37" s="108" t="str">
        <f aca="false">IF(ISBLANK(AL37),"",AL37*AN37)</f>
        <v/>
      </c>
      <c r="AP37" s="103"/>
    </row>
    <row r="38" customFormat="false" ht="11.25" hidden="false" customHeight="true" outlineLevel="0" collapsed="false">
      <c r="A38" s="180" t="str">
        <f aca="false">IF(B38&gt;0,IF(C38&gt;0,MAX($A$5:A37)+1," ")," ")</f>
        <v> </v>
      </c>
      <c r="B38" s="112"/>
      <c r="C38" s="113"/>
      <c r="D38" s="36"/>
      <c r="E38" s="108"/>
      <c r="F38" s="108"/>
      <c r="G38" s="103"/>
      <c r="H38" s="113"/>
      <c r="I38" s="36"/>
      <c r="J38" s="108"/>
      <c r="K38" s="108"/>
      <c r="L38" s="103"/>
      <c r="M38" s="113"/>
      <c r="N38" s="36"/>
      <c r="O38" s="108"/>
      <c r="P38" s="108"/>
      <c r="Q38" s="103"/>
      <c r="R38" s="113"/>
      <c r="S38" s="36"/>
      <c r="T38" s="108"/>
      <c r="U38" s="108"/>
      <c r="V38" s="103"/>
      <c r="W38" s="113"/>
      <c r="X38" s="36"/>
      <c r="Y38" s="108"/>
      <c r="Z38" s="108"/>
      <c r="AA38" s="103"/>
      <c r="AB38" s="113"/>
      <c r="AC38" s="36"/>
      <c r="AD38" s="108"/>
      <c r="AE38" s="108"/>
      <c r="AF38" s="103"/>
      <c r="AG38" s="113"/>
      <c r="AH38" s="36"/>
      <c r="AI38" s="108"/>
      <c r="AJ38" s="108"/>
      <c r="AK38" s="103"/>
      <c r="AL38" s="113"/>
      <c r="AM38" s="36"/>
      <c r="AN38" s="108"/>
      <c r="AO38" s="108"/>
      <c r="AP38" s="103"/>
    </row>
    <row r="39" customFormat="false" ht="11.25" hidden="false" customHeight="true" outlineLevel="0" collapsed="false">
      <c r="A39" s="180" t="n">
        <f aca="false">IF(B39&gt;0,IF(C39&gt;0,MAX($A$5:A38)+1," ")," ")</f>
        <v>16</v>
      </c>
      <c r="B39" s="112" t="s">
        <v>391</v>
      </c>
      <c r="C39" s="113" t="n">
        <v>10</v>
      </c>
      <c r="D39" s="36" t="s">
        <v>116</v>
      </c>
      <c r="E39" s="108" t="n">
        <v>100</v>
      </c>
      <c r="F39" s="108" t="n">
        <f aca="false">IF(ISBLANK(C39),"",C39*E39)</f>
        <v>1000</v>
      </c>
      <c r="G39" s="103"/>
      <c r="H39" s="113" t="n">
        <v>10</v>
      </c>
      <c r="I39" s="36" t="s">
        <v>116</v>
      </c>
      <c r="J39" s="108" t="n">
        <v>100</v>
      </c>
      <c r="K39" s="108" t="n">
        <f aca="false">IF(ISBLANK(H39),"",H39*J39)</f>
        <v>1000</v>
      </c>
      <c r="L39" s="103"/>
      <c r="M39" s="113" t="n">
        <v>10</v>
      </c>
      <c r="N39" s="36" t="s">
        <v>116</v>
      </c>
      <c r="O39" s="108" t="n">
        <v>100</v>
      </c>
      <c r="P39" s="108" t="n">
        <f aca="false">IF(ISBLANK(M39),"",M39*O39)</f>
        <v>1000</v>
      </c>
      <c r="Q39" s="103"/>
      <c r="R39" s="113" t="n">
        <v>10</v>
      </c>
      <c r="S39" s="36" t="s">
        <v>116</v>
      </c>
      <c r="T39" s="108" t="n">
        <v>100</v>
      </c>
      <c r="U39" s="108" t="n">
        <f aca="false">IF(ISBLANK(R39),"",R39*T39)</f>
        <v>1000</v>
      </c>
      <c r="V39" s="103"/>
      <c r="W39" s="113"/>
      <c r="X39" s="36" t="s">
        <v>116</v>
      </c>
      <c r="Y39" s="108"/>
      <c r="Z39" s="108" t="str">
        <f aca="false">IF(ISBLANK(W39),"",W39*Y39)</f>
        <v/>
      </c>
      <c r="AA39" s="103"/>
      <c r="AB39" s="113"/>
      <c r="AC39" s="36" t="s">
        <v>116</v>
      </c>
      <c r="AD39" s="108"/>
      <c r="AE39" s="108" t="str">
        <f aca="false">IF(ISBLANK(AB39),"",AB39*AD39)</f>
        <v/>
      </c>
      <c r="AF39" s="103"/>
      <c r="AG39" s="113"/>
      <c r="AH39" s="36" t="s">
        <v>116</v>
      </c>
      <c r="AI39" s="108"/>
      <c r="AJ39" s="108" t="str">
        <f aca="false">IF(ISBLANK(AG39),"",AG39*AI39)</f>
        <v/>
      </c>
      <c r="AK39" s="103"/>
      <c r="AL39" s="113"/>
      <c r="AM39" s="36" t="s">
        <v>116</v>
      </c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80" t="str">
        <f aca="false">IF(B40&gt;0,IF(C40&gt;0,MAX($A$5:A39)+1," ")," ")</f>
        <v> </v>
      </c>
      <c r="B40" s="112"/>
      <c r="C40" s="113"/>
      <c r="D40" s="36"/>
      <c r="E40" s="108"/>
      <c r="F40" s="108"/>
      <c r="G40" s="103"/>
      <c r="H40" s="113"/>
      <c r="I40" s="36"/>
      <c r="J40" s="108"/>
      <c r="K40" s="108"/>
      <c r="L40" s="103"/>
      <c r="M40" s="113"/>
      <c r="N40" s="36"/>
      <c r="O40" s="108"/>
      <c r="P40" s="108"/>
      <c r="Q40" s="103"/>
      <c r="R40" s="113"/>
      <c r="S40" s="36"/>
      <c r="T40" s="108"/>
      <c r="U40" s="108"/>
      <c r="V40" s="103"/>
      <c r="W40" s="113"/>
      <c r="X40" s="36"/>
      <c r="Y40" s="108"/>
      <c r="Z40" s="108"/>
      <c r="AA40" s="103"/>
      <c r="AB40" s="113"/>
      <c r="AC40" s="36"/>
      <c r="AD40" s="108"/>
      <c r="AE40" s="108"/>
      <c r="AF40" s="103"/>
      <c r="AG40" s="113"/>
      <c r="AH40" s="36"/>
      <c r="AI40" s="108"/>
      <c r="AJ40" s="108"/>
      <c r="AK40" s="103"/>
      <c r="AL40" s="113"/>
      <c r="AM40" s="36"/>
      <c r="AN40" s="108"/>
      <c r="AO40" s="108"/>
      <c r="AP40" s="103"/>
    </row>
    <row r="41" customFormat="false" ht="11.25" hidden="false" customHeight="true" outlineLevel="0" collapsed="false">
      <c r="A41" s="180" t="n">
        <f aca="false">IF(B41&gt;0,IF(C41&gt;0,MAX($A$5:A40)+1," ")," ")</f>
        <v>17</v>
      </c>
      <c r="B41" s="112" t="s">
        <v>392</v>
      </c>
      <c r="C41" s="113" t="n">
        <v>10</v>
      </c>
      <c r="D41" s="36" t="s">
        <v>116</v>
      </c>
      <c r="E41" s="108" t="n">
        <v>100</v>
      </c>
      <c r="F41" s="108" t="n">
        <f aca="false">IF(ISBLANK(C41),"",C41*E41)</f>
        <v>1000</v>
      </c>
      <c r="G41" s="103"/>
      <c r="H41" s="113" t="n">
        <v>10</v>
      </c>
      <c r="I41" s="36" t="s">
        <v>116</v>
      </c>
      <c r="J41" s="108" t="n">
        <v>100</v>
      </c>
      <c r="K41" s="108" t="n">
        <f aca="false">IF(ISBLANK(H41),"",H41*J41)</f>
        <v>1000</v>
      </c>
      <c r="L41" s="103"/>
      <c r="M41" s="113" t="n">
        <v>10</v>
      </c>
      <c r="N41" s="36" t="s">
        <v>116</v>
      </c>
      <c r="O41" s="108" t="n">
        <v>100</v>
      </c>
      <c r="P41" s="108" t="n">
        <f aca="false">IF(ISBLANK(M41),"",M41*O41)</f>
        <v>1000</v>
      </c>
      <c r="Q41" s="103"/>
      <c r="R41" s="113" t="n">
        <v>10</v>
      </c>
      <c r="S41" s="36" t="s">
        <v>116</v>
      </c>
      <c r="T41" s="108" t="n">
        <v>100</v>
      </c>
      <c r="U41" s="108" t="n">
        <f aca="false">IF(ISBLANK(R41),"",R41*T41)</f>
        <v>1000</v>
      </c>
      <c r="V41" s="103"/>
      <c r="W41" s="113"/>
      <c r="X41" s="36" t="s">
        <v>116</v>
      </c>
      <c r="Y41" s="108"/>
      <c r="Z41" s="108" t="str">
        <f aca="false">IF(ISBLANK(W41),"",W41*Y41)</f>
        <v/>
      </c>
      <c r="AA41" s="103"/>
      <c r="AB41" s="113"/>
      <c r="AC41" s="36" t="s">
        <v>116</v>
      </c>
      <c r="AD41" s="108"/>
      <c r="AE41" s="108" t="str">
        <f aca="false">IF(ISBLANK(AB41),"",AB41*AD41)</f>
        <v/>
      </c>
      <c r="AF41" s="103"/>
      <c r="AG41" s="113"/>
      <c r="AH41" s="36" t="s">
        <v>116</v>
      </c>
      <c r="AI41" s="108"/>
      <c r="AJ41" s="108" t="str">
        <f aca="false">IF(ISBLANK(AG41),"",AG41*AI41)</f>
        <v/>
      </c>
      <c r="AK41" s="103"/>
      <c r="AL41" s="113"/>
      <c r="AM41" s="36" t="s">
        <v>116</v>
      </c>
      <c r="AN41" s="108"/>
      <c r="AO41" s="108" t="str">
        <f aca="false">IF(ISBLANK(AL41),"",AL41*AN41)</f>
        <v/>
      </c>
      <c r="AP41" s="103"/>
    </row>
    <row r="42" customFormat="false" ht="11.25" hidden="false" customHeight="true" outlineLevel="0" collapsed="false">
      <c r="A42" s="180" t="str">
        <f aca="false">IF(B42&gt;0,IF(C42&gt;0,MAX($A$5:A41)+1," ")," ")</f>
        <v> </v>
      </c>
      <c r="B42" s="112"/>
      <c r="C42" s="113"/>
      <c r="D42" s="36"/>
      <c r="E42" s="108"/>
      <c r="F42" s="108"/>
      <c r="G42" s="103"/>
      <c r="H42" s="113"/>
      <c r="I42" s="36"/>
      <c r="J42" s="108"/>
      <c r="K42" s="108"/>
      <c r="L42" s="103"/>
      <c r="M42" s="113"/>
      <c r="N42" s="36"/>
      <c r="O42" s="108"/>
      <c r="P42" s="108"/>
      <c r="Q42" s="103"/>
      <c r="R42" s="113"/>
      <c r="S42" s="36"/>
      <c r="T42" s="108"/>
      <c r="U42" s="108"/>
      <c r="V42" s="103"/>
      <c r="W42" s="113"/>
      <c r="X42" s="36"/>
      <c r="Y42" s="108"/>
      <c r="Z42" s="108"/>
      <c r="AA42" s="103"/>
      <c r="AB42" s="113"/>
      <c r="AC42" s="36"/>
      <c r="AD42" s="108"/>
      <c r="AE42" s="108"/>
      <c r="AF42" s="103"/>
      <c r="AG42" s="113"/>
      <c r="AH42" s="36"/>
      <c r="AI42" s="108"/>
      <c r="AJ42" s="108"/>
      <c r="AK42" s="103"/>
      <c r="AL42" s="113"/>
      <c r="AM42" s="36"/>
      <c r="AN42" s="108"/>
      <c r="AO42" s="108"/>
      <c r="AP42" s="103"/>
    </row>
    <row r="43" customFormat="false" ht="22.5" hidden="false" customHeight="true" outlineLevel="0" collapsed="false">
      <c r="A43" s="180" t="n">
        <f aca="false">IF(B43&gt;0,IF(C43&gt;0,MAX($A$5:A42)+1," ")," ")</f>
        <v>18</v>
      </c>
      <c r="B43" s="112" t="s">
        <v>393</v>
      </c>
      <c r="C43" s="113" t="n">
        <v>10</v>
      </c>
      <c r="D43" s="36" t="s">
        <v>116</v>
      </c>
      <c r="E43" s="108" t="n">
        <v>100</v>
      </c>
      <c r="F43" s="108" t="n">
        <f aca="false">IF(ISBLANK(C43),"",C43*E43)</f>
        <v>1000</v>
      </c>
      <c r="G43" s="103"/>
      <c r="H43" s="113" t="n">
        <v>10</v>
      </c>
      <c r="I43" s="36" t="s">
        <v>116</v>
      </c>
      <c r="J43" s="108" t="n">
        <v>100</v>
      </c>
      <c r="K43" s="108" t="n">
        <f aca="false">IF(ISBLANK(H43),"",H43*J43)</f>
        <v>1000</v>
      </c>
      <c r="L43" s="103"/>
      <c r="M43" s="113" t="n">
        <v>10</v>
      </c>
      <c r="N43" s="36" t="s">
        <v>116</v>
      </c>
      <c r="O43" s="108" t="n">
        <v>100</v>
      </c>
      <c r="P43" s="108" t="n">
        <f aca="false">IF(ISBLANK(M43),"",M43*O43)</f>
        <v>1000</v>
      </c>
      <c r="Q43" s="103"/>
      <c r="R43" s="113" t="n">
        <v>10</v>
      </c>
      <c r="S43" s="36" t="s">
        <v>116</v>
      </c>
      <c r="T43" s="108" t="n">
        <v>100</v>
      </c>
      <c r="U43" s="108" t="n">
        <f aca="false">IF(ISBLANK(R43),"",R43*T43)</f>
        <v>1000</v>
      </c>
      <c r="V43" s="103"/>
      <c r="W43" s="113"/>
      <c r="X43" s="36" t="s">
        <v>116</v>
      </c>
      <c r="Y43" s="108"/>
      <c r="Z43" s="108" t="str">
        <f aca="false">IF(ISBLANK(W43),"",W43*Y43)</f>
        <v/>
      </c>
      <c r="AA43" s="103"/>
      <c r="AB43" s="113"/>
      <c r="AC43" s="36" t="s">
        <v>116</v>
      </c>
      <c r="AD43" s="108"/>
      <c r="AE43" s="108" t="str">
        <f aca="false">IF(ISBLANK(AB43),"",AB43*AD43)</f>
        <v/>
      </c>
      <c r="AF43" s="103"/>
      <c r="AG43" s="113"/>
      <c r="AH43" s="36" t="s">
        <v>116</v>
      </c>
      <c r="AI43" s="108"/>
      <c r="AJ43" s="108" t="str">
        <f aca="false">IF(ISBLANK(AG43),"",AG43*AI43)</f>
        <v/>
      </c>
      <c r="AK43" s="103"/>
      <c r="AL43" s="113"/>
      <c r="AM43" s="36" t="s">
        <v>116</v>
      </c>
      <c r="AN43" s="108"/>
      <c r="AO43" s="108" t="str">
        <f aca="false">IF(ISBLANK(AL43),"",AL43*AN43)</f>
        <v/>
      </c>
      <c r="AP43" s="103"/>
    </row>
    <row r="44" customFormat="false" ht="11.25" hidden="false" customHeight="true" outlineLevel="0" collapsed="false">
      <c r="A44" s="180" t="str">
        <f aca="false">IF(B44&gt;0,IF(C44&gt;0,MAX($A$5:A43)+1," ")," ")</f>
        <v> </v>
      </c>
      <c r="B44" s="112"/>
      <c r="C44" s="113"/>
      <c r="D44" s="36"/>
      <c r="E44" s="108"/>
      <c r="F44" s="108"/>
      <c r="G44" s="103"/>
      <c r="H44" s="113"/>
      <c r="I44" s="36"/>
      <c r="J44" s="108"/>
      <c r="K44" s="108"/>
      <c r="L44" s="103"/>
      <c r="M44" s="113"/>
      <c r="N44" s="36"/>
      <c r="O44" s="108"/>
      <c r="P44" s="108"/>
      <c r="Q44" s="103"/>
      <c r="R44" s="113"/>
      <c r="S44" s="36"/>
      <c r="T44" s="108"/>
      <c r="U44" s="108"/>
      <c r="V44" s="103"/>
      <c r="W44" s="113"/>
      <c r="X44" s="36"/>
      <c r="Y44" s="108"/>
      <c r="Z44" s="108"/>
      <c r="AA44" s="103"/>
      <c r="AB44" s="113"/>
      <c r="AC44" s="36"/>
      <c r="AD44" s="108"/>
      <c r="AE44" s="108"/>
      <c r="AF44" s="103"/>
      <c r="AG44" s="113"/>
      <c r="AH44" s="36"/>
      <c r="AI44" s="108"/>
      <c r="AJ44" s="108"/>
      <c r="AK44" s="103"/>
      <c r="AL44" s="113"/>
      <c r="AM44" s="36"/>
      <c r="AN44" s="108"/>
      <c r="AO44" s="108"/>
      <c r="AP44" s="103"/>
    </row>
    <row r="45" customFormat="false" ht="11.25" hidden="false" customHeight="true" outlineLevel="0" collapsed="false">
      <c r="A45" s="180" t="n">
        <f aca="false">IF(B45&gt;0,IF(C45&gt;0,MAX($A$5:A44)+1," ")," ")</f>
        <v>19</v>
      </c>
      <c r="B45" s="112" t="s">
        <v>394</v>
      </c>
      <c r="C45" s="113" t="n">
        <v>10</v>
      </c>
      <c r="D45" s="36" t="s">
        <v>118</v>
      </c>
      <c r="E45" s="108" t="n">
        <v>100</v>
      </c>
      <c r="F45" s="108" t="n">
        <f aca="false">IF(ISBLANK(C45),"",C45*E45)</f>
        <v>1000</v>
      </c>
      <c r="G45" s="103"/>
      <c r="H45" s="113" t="n">
        <v>10</v>
      </c>
      <c r="I45" s="36" t="s">
        <v>118</v>
      </c>
      <c r="J45" s="108" t="n">
        <v>100</v>
      </c>
      <c r="K45" s="108" t="n">
        <f aca="false">IF(ISBLANK(H45),"",H45*J45)</f>
        <v>1000</v>
      </c>
      <c r="L45" s="103"/>
      <c r="M45" s="113" t="n">
        <v>10</v>
      </c>
      <c r="N45" s="36" t="s">
        <v>118</v>
      </c>
      <c r="O45" s="108" t="n">
        <v>100</v>
      </c>
      <c r="P45" s="108" t="n">
        <f aca="false">IF(ISBLANK(M45),"",M45*O45)</f>
        <v>1000</v>
      </c>
      <c r="Q45" s="103"/>
      <c r="R45" s="113" t="n">
        <v>10</v>
      </c>
      <c r="S45" s="36" t="s">
        <v>118</v>
      </c>
      <c r="T45" s="108" t="n">
        <v>100</v>
      </c>
      <c r="U45" s="108" t="n">
        <f aca="false">IF(ISBLANK(R45),"",R45*T45)</f>
        <v>1000</v>
      </c>
      <c r="V45" s="103"/>
      <c r="W45" s="113"/>
      <c r="X45" s="36" t="s">
        <v>118</v>
      </c>
      <c r="Y45" s="108"/>
      <c r="Z45" s="108" t="str">
        <f aca="false">IF(ISBLANK(W45),"",W45*Y45)</f>
        <v/>
      </c>
      <c r="AA45" s="103"/>
      <c r="AB45" s="113"/>
      <c r="AC45" s="36" t="s">
        <v>118</v>
      </c>
      <c r="AD45" s="108"/>
      <c r="AE45" s="108" t="str">
        <f aca="false">IF(ISBLANK(AB45),"",AB45*AD45)</f>
        <v/>
      </c>
      <c r="AF45" s="103"/>
      <c r="AG45" s="113"/>
      <c r="AH45" s="36" t="s">
        <v>118</v>
      </c>
      <c r="AI45" s="108"/>
      <c r="AJ45" s="108" t="str">
        <f aca="false">IF(ISBLANK(AG45),"",AG45*AI45)</f>
        <v/>
      </c>
      <c r="AK45" s="103"/>
      <c r="AL45" s="113"/>
      <c r="AM45" s="36" t="s">
        <v>118</v>
      </c>
      <c r="AN45" s="108"/>
      <c r="AO45" s="108" t="str">
        <f aca="false">IF(ISBLANK(AL45),"",AL45*AN45)</f>
        <v/>
      </c>
      <c r="AP45" s="103"/>
    </row>
    <row r="46" customFormat="false" ht="11.25" hidden="false" customHeight="true" outlineLevel="0" collapsed="false">
      <c r="A46" s="181"/>
      <c r="B46" s="112"/>
      <c r="C46" s="113"/>
      <c r="D46" s="36"/>
      <c r="E46" s="108"/>
      <c r="F46" s="108" t="str">
        <f aca="false">IF(ISBLANK(C46),"",C46*E46)</f>
        <v/>
      </c>
      <c r="G46" s="103"/>
      <c r="H46" s="113"/>
      <c r="I46" s="36"/>
      <c r="J46" s="108"/>
      <c r="K46" s="108" t="str">
        <f aca="false">IF(ISBLANK(H46),"",H46*J46)</f>
        <v/>
      </c>
      <c r="L46" s="103"/>
      <c r="M46" s="113"/>
      <c r="N46" s="36"/>
      <c r="O46" s="108"/>
      <c r="P46" s="108" t="str">
        <f aca="false">IF(ISBLANK(M46),"",M46*O46)</f>
        <v/>
      </c>
      <c r="Q46" s="103"/>
      <c r="R46" s="113"/>
      <c r="S46" s="36"/>
      <c r="T46" s="108"/>
      <c r="U46" s="108" t="str">
        <f aca="false">IF(ISBLANK(R46),"",R46*T46)</f>
        <v/>
      </c>
      <c r="V46" s="103"/>
      <c r="W46" s="113"/>
      <c r="X46" s="36"/>
      <c r="Y46" s="108"/>
      <c r="Z46" s="108" t="str">
        <f aca="false">IF(ISBLANK(W46),"",W46*Y46)</f>
        <v/>
      </c>
      <c r="AA46" s="103"/>
      <c r="AB46" s="113"/>
      <c r="AC46" s="36"/>
      <c r="AD46" s="108"/>
      <c r="AE46" s="108" t="str">
        <f aca="false">IF(ISBLANK(AB46),"",AB46*AD46)</f>
        <v/>
      </c>
      <c r="AF46" s="103"/>
      <c r="AG46" s="113"/>
      <c r="AH46" s="36"/>
      <c r="AI46" s="108"/>
      <c r="AJ46" s="108" t="str">
        <f aca="false">IF(ISBLANK(AG46),"",AG46*AI46)</f>
        <v/>
      </c>
      <c r="AK46" s="103"/>
      <c r="AL46" s="113"/>
      <c r="AM46" s="36"/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80" t="n">
        <f aca="false">IF(B47&gt;0,IF(C47&gt;0,MAX($A$5:A45)+1," ")," ")</f>
        <v>20</v>
      </c>
      <c r="B47" s="112" t="s">
        <v>395</v>
      </c>
      <c r="C47" s="113" t="n">
        <v>10</v>
      </c>
      <c r="D47" s="36" t="s">
        <v>118</v>
      </c>
      <c r="E47" s="108" t="n">
        <v>50</v>
      </c>
      <c r="F47" s="108" t="n">
        <f aca="false">IF(ISBLANK(C47),"",C47*E47)</f>
        <v>500</v>
      </c>
      <c r="G47" s="103"/>
      <c r="H47" s="113" t="n">
        <v>10</v>
      </c>
      <c r="I47" s="36" t="s">
        <v>118</v>
      </c>
      <c r="J47" s="108" t="n">
        <v>50</v>
      </c>
      <c r="K47" s="108" t="n">
        <f aca="false">IF(ISBLANK(H47),"",H47*J47)</f>
        <v>500</v>
      </c>
      <c r="L47" s="103"/>
      <c r="M47" s="113" t="n">
        <v>10</v>
      </c>
      <c r="N47" s="36" t="s">
        <v>118</v>
      </c>
      <c r="O47" s="108" t="n">
        <v>50</v>
      </c>
      <c r="P47" s="108" t="n">
        <f aca="false">IF(ISBLANK(M47),"",M47*O47)</f>
        <v>500</v>
      </c>
      <c r="Q47" s="103"/>
      <c r="R47" s="113" t="n">
        <v>10</v>
      </c>
      <c r="S47" s="36" t="s">
        <v>118</v>
      </c>
      <c r="T47" s="108" t="n">
        <v>50</v>
      </c>
      <c r="U47" s="108" t="n">
        <f aca="false">IF(ISBLANK(R47),"",R47*T47)</f>
        <v>500</v>
      </c>
      <c r="V47" s="103"/>
      <c r="W47" s="113"/>
      <c r="X47" s="36" t="s">
        <v>118</v>
      </c>
      <c r="Y47" s="108"/>
      <c r="Z47" s="108" t="str">
        <f aca="false">IF(ISBLANK(W47),"",W47*Y47)</f>
        <v/>
      </c>
      <c r="AA47" s="103"/>
      <c r="AB47" s="113"/>
      <c r="AC47" s="36" t="s">
        <v>118</v>
      </c>
      <c r="AD47" s="108"/>
      <c r="AE47" s="108" t="str">
        <f aca="false">IF(ISBLANK(AB47),"",AB47*AD47)</f>
        <v/>
      </c>
      <c r="AF47" s="103"/>
      <c r="AG47" s="113"/>
      <c r="AH47" s="36" t="s">
        <v>118</v>
      </c>
      <c r="AI47" s="108"/>
      <c r="AJ47" s="108" t="str">
        <f aca="false">IF(ISBLANK(AG47),"",AG47*AI47)</f>
        <v/>
      </c>
      <c r="AK47" s="103"/>
      <c r="AL47" s="113"/>
      <c r="AM47" s="36" t="s">
        <v>118</v>
      </c>
      <c r="AN47" s="108"/>
      <c r="AO47" s="108" t="str">
        <f aca="false">IF(ISBLANK(AL47),"",AL47*AN47)</f>
        <v/>
      </c>
      <c r="AP47" s="103"/>
    </row>
    <row r="48" customFormat="false" ht="11.25" hidden="false" customHeight="true" outlineLevel="0" collapsed="false">
      <c r="A48" s="174" t="str">
        <f aca="false">IF(B48&gt;0,IF(C48&gt;0,MAX($A$5:A27)+1," ")," ")</f>
        <v> </v>
      </c>
      <c r="B48" s="114"/>
      <c r="C48" s="115"/>
      <c r="D48" s="36"/>
      <c r="E48" s="108"/>
      <c r="F48" s="108" t="str">
        <f aca="false">IF(ISBLANK(C48),"",C48*E48)</f>
        <v/>
      </c>
      <c r="G48" s="103"/>
      <c r="H48" s="115"/>
      <c r="I48" s="36"/>
      <c r="J48" s="108"/>
      <c r="K48" s="108" t="str">
        <f aca="false">IF(ISBLANK(H48),"",H48*J48)</f>
        <v/>
      </c>
      <c r="L48" s="103"/>
      <c r="M48" s="115"/>
      <c r="N48" s="36"/>
      <c r="O48" s="108"/>
      <c r="P48" s="108" t="str">
        <f aca="false">IF(ISBLANK(M48),"",M48*O48)</f>
        <v/>
      </c>
      <c r="Q48" s="103"/>
      <c r="R48" s="115"/>
      <c r="S48" s="36"/>
      <c r="T48" s="108"/>
      <c r="U48" s="108" t="str">
        <f aca="false">IF(ISBLANK(R48),"",R48*T48)</f>
        <v/>
      </c>
      <c r="V48" s="103"/>
      <c r="W48" s="115"/>
      <c r="X48" s="36"/>
      <c r="Y48" s="108"/>
      <c r="Z48" s="108" t="str">
        <f aca="false">IF(ISBLANK(W48),"",W48*Y48)</f>
        <v/>
      </c>
      <c r="AA48" s="103"/>
      <c r="AB48" s="115"/>
      <c r="AC48" s="36"/>
      <c r="AD48" s="108"/>
      <c r="AE48" s="108" t="str">
        <f aca="false">IF(ISBLANK(AB48),"",AB48*AD48)</f>
        <v/>
      </c>
      <c r="AF48" s="103"/>
      <c r="AG48" s="115"/>
      <c r="AH48" s="36"/>
      <c r="AI48" s="108"/>
      <c r="AJ48" s="108" t="str">
        <f aca="false">IF(ISBLANK(AG48),"",AG48*AI48)</f>
        <v/>
      </c>
      <c r="AK48" s="103"/>
      <c r="AL48" s="115"/>
      <c r="AM48" s="36"/>
      <c r="AN48" s="108"/>
      <c r="AO48" s="108" t="str">
        <f aca="false">IF(ISBLANK(AL48),"",AL48*AN48)</f>
        <v/>
      </c>
      <c r="AP48" s="103"/>
    </row>
    <row r="49" customFormat="false" ht="11.25" hidden="false" customHeight="true" outlineLevel="0" collapsed="false">
      <c r="A49" s="174" t="str">
        <f aca="false">IF(B49&gt;0,IF(C49&gt;0,MAX($A$5:A48)+1," ")," ")</f>
        <v> </v>
      </c>
      <c r="B49" s="116" t="s">
        <v>224</v>
      </c>
      <c r="C49" s="106"/>
      <c r="D49" s="37"/>
      <c r="E49" s="107"/>
      <c r="F49" s="107" t="str">
        <f aca="false">IF(ISBLANK(C49),"",C49*E49)</f>
        <v/>
      </c>
      <c r="G49" s="103"/>
      <c r="H49" s="106"/>
      <c r="I49" s="37"/>
      <c r="J49" s="107"/>
      <c r="K49" s="107" t="str">
        <f aca="false">IF(ISBLANK(H49),"",H49*J49)</f>
        <v/>
      </c>
      <c r="L49" s="103"/>
      <c r="M49" s="106"/>
      <c r="N49" s="37"/>
      <c r="O49" s="107"/>
      <c r="P49" s="107" t="str">
        <f aca="false">IF(ISBLANK(M49),"",M49*O49)</f>
        <v/>
      </c>
      <c r="Q49" s="103"/>
      <c r="R49" s="106"/>
      <c r="S49" s="37"/>
      <c r="T49" s="107"/>
      <c r="U49" s="107" t="str">
        <f aca="false">IF(ISBLANK(R49),"",R49*T49)</f>
        <v/>
      </c>
      <c r="V49" s="103"/>
      <c r="W49" s="106"/>
      <c r="X49" s="37"/>
      <c r="Y49" s="107"/>
      <c r="Z49" s="107" t="str">
        <f aca="false">IF(ISBLANK(W49),"",W49*Y49)</f>
        <v/>
      </c>
      <c r="AA49" s="103"/>
      <c r="AB49" s="106"/>
      <c r="AC49" s="37"/>
      <c r="AD49" s="107"/>
      <c r="AE49" s="107" t="str">
        <f aca="false">IF(ISBLANK(AB49),"",AB49*AD49)</f>
        <v/>
      </c>
      <c r="AF49" s="103"/>
      <c r="AG49" s="106"/>
      <c r="AH49" s="37"/>
      <c r="AI49" s="107"/>
      <c r="AJ49" s="107" t="str">
        <f aca="false">IF(ISBLANK(AG49),"",AG49*AI49)</f>
        <v/>
      </c>
      <c r="AK49" s="103"/>
      <c r="AL49" s="106"/>
      <c r="AM49" s="37"/>
      <c r="AN49" s="107"/>
      <c r="AO49" s="107" t="str">
        <f aca="false">IF(ISBLANK(AL49),"",AL49*AN49)</f>
        <v/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21</v>
      </c>
      <c r="B50" s="70" t="s">
        <v>225</v>
      </c>
      <c r="C50" s="106" t="n">
        <v>1</v>
      </c>
      <c r="D50" s="37" t="s">
        <v>209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209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209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209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209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209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209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209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22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23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n">
        <f aca="false">IF(B53&gt;0,IF(C53&gt;0,MAX($A$5:A52)+1," ")," ")</f>
        <v>24</v>
      </c>
      <c r="B53" s="70" t="s">
        <v>225</v>
      </c>
      <c r="C53" s="106" t="n">
        <v>1</v>
      </c>
      <c r="D53" s="37" t="s">
        <v>226</v>
      </c>
      <c r="E53" s="107"/>
      <c r="F53" s="107" t="n">
        <f aca="false">IF(ISBLANK(C53),"",C53*E53)</f>
        <v>0</v>
      </c>
      <c r="G53" s="103"/>
      <c r="H53" s="106" t="n">
        <v>1</v>
      </c>
      <c r="I53" s="37" t="s">
        <v>226</v>
      </c>
      <c r="J53" s="107"/>
      <c r="K53" s="107" t="n">
        <f aca="false">IF(ISBLANK(H53),"",H53*J53)</f>
        <v>0</v>
      </c>
      <c r="L53" s="103"/>
      <c r="M53" s="106" t="n">
        <v>1</v>
      </c>
      <c r="N53" s="37" t="s">
        <v>226</v>
      </c>
      <c r="O53" s="107"/>
      <c r="P53" s="107" t="n">
        <f aca="false">IF(ISBLANK(M53),"",M53*O53)</f>
        <v>0</v>
      </c>
      <c r="Q53" s="103"/>
      <c r="R53" s="106" t="n">
        <v>1</v>
      </c>
      <c r="S53" s="37" t="s">
        <v>226</v>
      </c>
      <c r="T53" s="107"/>
      <c r="U53" s="107" t="n">
        <f aca="false">IF(ISBLANK(R53),"",R53*T53)</f>
        <v>0</v>
      </c>
      <c r="V53" s="103"/>
      <c r="W53" s="106" t="n">
        <v>1</v>
      </c>
      <c r="X53" s="37" t="s">
        <v>226</v>
      </c>
      <c r="Y53" s="107"/>
      <c r="Z53" s="107" t="n">
        <f aca="false">IF(ISBLANK(W53),"",W53*Y53)</f>
        <v>0</v>
      </c>
      <c r="AA53" s="103"/>
      <c r="AB53" s="106" t="n">
        <v>1</v>
      </c>
      <c r="AC53" s="37" t="s">
        <v>226</v>
      </c>
      <c r="AD53" s="107"/>
      <c r="AE53" s="107" t="n">
        <f aca="false">IF(ISBLANK(AB53),"",AB53*AD53)</f>
        <v>0</v>
      </c>
      <c r="AF53" s="103"/>
      <c r="AG53" s="106" t="n">
        <v>1</v>
      </c>
      <c r="AH53" s="37" t="s">
        <v>226</v>
      </c>
      <c r="AI53" s="107"/>
      <c r="AJ53" s="107" t="n">
        <f aca="false">IF(ISBLANK(AG53),"",AG53*AI53)</f>
        <v>0</v>
      </c>
      <c r="AK53" s="103"/>
      <c r="AL53" s="106" t="n">
        <v>1</v>
      </c>
      <c r="AM53" s="37" t="s">
        <v>226</v>
      </c>
      <c r="AN53" s="107"/>
      <c r="AO53" s="107" t="n">
        <f aca="false">IF(ISBLANK(AL53),"",AL53*AN53)</f>
        <v>0</v>
      </c>
      <c r="AP53" s="103"/>
    </row>
    <row r="54" customFormat="false" ht="11.25" hidden="false" customHeight="true" outlineLevel="0" collapsed="false">
      <c r="A54" s="174" t="str">
        <f aca="false">IF(B54&gt;0,IF(C54&gt;0,MAX($A$3:A48)+1," ")," ")</f>
        <v> </v>
      </c>
      <c r="B54" s="112"/>
      <c r="C54" s="111"/>
      <c r="D54" s="36"/>
      <c r="E54" s="108"/>
      <c r="F54" s="108" t="str">
        <f aca="false">IF(ISBLANK(C54),"",C54*E54)</f>
        <v/>
      </c>
      <c r="G54" s="103"/>
      <c r="H54" s="111"/>
      <c r="I54" s="36"/>
      <c r="J54" s="108"/>
      <c r="K54" s="108" t="str">
        <f aca="false">IF(ISBLANK(H54),"",H54*J54)</f>
        <v/>
      </c>
      <c r="L54" s="103"/>
      <c r="M54" s="111"/>
      <c r="N54" s="36"/>
      <c r="O54" s="108"/>
      <c r="P54" s="108" t="str">
        <f aca="false">IF(ISBLANK(M54),"",M54*O54)</f>
        <v/>
      </c>
      <c r="Q54" s="103"/>
      <c r="R54" s="111"/>
      <c r="S54" s="36"/>
      <c r="T54" s="108"/>
      <c r="U54" s="108" t="str">
        <f aca="false">IF(ISBLANK(R54),"",R54*T54)</f>
        <v/>
      </c>
      <c r="V54" s="103"/>
      <c r="W54" s="111"/>
      <c r="X54" s="36"/>
      <c r="Y54" s="108"/>
      <c r="Z54" s="108" t="str">
        <f aca="false">IF(ISBLANK(W54),"",W54*Y54)</f>
        <v/>
      </c>
      <c r="AA54" s="103"/>
      <c r="AB54" s="111"/>
      <c r="AC54" s="36"/>
      <c r="AD54" s="108"/>
      <c r="AE54" s="108" t="str">
        <f aca="false">IF(ISBLANK(AB54),"",AB54*AD54)</f>
        <v/>
      </c>
      <c r="AF54" s="103"/>
      <c r="AG54" s="111"/>
      <c r="AH54" s="36"/>
      <c r="AI54" s="108"/>
      <c r="AJ54" s="108" t="str">
        <f aca="false">IF(ISBLANK(AG54),"",AG54*AI54)</f>
        <v/>
      </c>
      <c r="AK54" s="103"/>
      <c r="AL54" s="111"/>
      <c r="AM54" s="36"/>
      <c r="AN54" s="108"/>
      <c r="AO54" s="108" t="str">
        <f aca="false">IF(ISBLANK(AL54),"",AL54*AN54)</f>
        <v/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 t="s">
        <v>177</v>
      </c>
      <c r="F55" s="117" t="n">
        <f aca="false">SUM(F5:F54)</f>
        <v>19500</v>
      </c>
      <c r="G55" s="103"/>
      <c r="H55" s="98"/>
      <c r="I55" s="98"/>
      <c r="J55" s="117" t="s">
        <v>177</v>
      </c>
      <c r="K55" s="117" t="n">
        <f aca="false">SUM(K5:K54)</f>
        <v>19500</v>
      </c>
      <c r="L55" s="103"/>
      <c r="M55" s="98"/>
      <c r="N55" s="98"/>
      <c r="O55" s="117" t="s">
        <v>177</v>
      </c>
      <c r="P55" s="117" t="n">
        <f aca="false">SUM(P5:P54)</f>
        <v>19500</v>
      </c>
      <c r="Q55" s="103"/>
      <c r="R55" s="98"/>
      <c r="S55" s="98"/>
      <c r="T55" s="117" t="s">
        <v>177</v>
      </c>
      <c r="U55" s="117" t="n">
        <f aca="false">SUM(U5:U54)</f>
        <v>19500</v>
      </c>
      <c r="V55" s="103"/>
      <c r="W55" s="98"/>
      <c r="X55" s="98"/>
      <c r="Y55" s="117" t="s">
        <v>177</v>
      </c>
      <c r="Z55" s="117" t="n">
        <f aca="false">SUM(Z5:Z54)</f>
        <v>0</v>
      </c>
      <c r="AA55" s="103"/>
      <c r="AB55" s="98"/>
      <c r="AC55" s="98"/>
      <c r="AD55" s="117" t="s">
        <v>177</v>
      </c>
      <c r="AE55" s="117" t="n">
        <f aca="false">SUM(AE5:AE54)</f>
        <v>0</v>
      </c>
      <c r="AF55" s="103"/>
      <c r="AG55" s="98"/>
      <c r="AH55" s="98"/>
      <c r="AI55" s="117" t="s">
        <v>177</v>
      </c>
      <c r="AJ55" s="117" t="n">
        <f aca="false">SUM(AJ5:AJ54)</f>
        <v>0</v>
      </c>
      <c r="AK55" s="103"/>
      <c r="AL55" s="98"/>
      <c r="AM55" s="98"/>
      <c r="AN55" s="117" t="s">
        <v>177</v>
      </c>
      <c r="AO55" s="117" t="n">
        <f aca="false">SUM(AO5:AO54)</f>
        <v>0</v>
      </c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2.7 Internal Walls &amp; Partitions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2.7 Internal Walls &amp; Partitions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396</v>
      </c>
      <c r="C8" s="113" t="n">
        <v>1</v>
      </c>
      <c r="D8" s="36" t="s">
        <v>209</v>
      </c>
      <c r="E8" s="108" t="n">
        <v>100</v>
      </c>
      <c r="F8" s="108" t="n">
        <f aca="false">IF(ISBLANK(C8),"",C8*E8)</f>
        <v>100</v>
      </c>
      <c r="G8" s="103"/>
      <c r="H8" s="113" t="n">
        <v>1</v>
      </c>
      <c r="I8" s="36" t="s">
        <v>209</v>
      </c>
      <c r="J8" s="108" t="n">
        <v>100</v>
      </c>
      <c r="K8" s="108" t="n">
        <f aca="false">IF(ISBLANK(H8),"",H8*J8)</f>
        <v>100</v>
      </c>
      <c r="L8" s="103"/>
      <c r="M8" s="113" t="n">
        <v>1</v>
      </c>
      <c r="N8" s="36" t="s">
        <v>209</v>
      </c>
      <c r="O8" s="108" t="n">
        <v>100</v>
      </c>
      <c r="P8" s="108" t="n">
        <f aca="false">IF(ISBLANK(M8),"",M8*O8)</f>
        <v>100</v>
      </c>
      <c r="Q8" s="103"/>
      <c r="R8" s="113" t="n">
        <v>1</v>
      </c>
      <c r="S8" s="36" t="s">
        <v>209</v>
      </c>
      <c r="T8" s="108" t="n">
        <v>100</v>
      </c>
      <c r="U8" s="108" t="n">
        <f aca="false">IF(ISBLANK(R8),"",R8*T8)</f>
        <v>100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397</v>
      </c>
      <c r="C10" s="113" t="n">
        <v>1</v>
      </c>
      <c r="D10" s="36" t="s">
        <v>209</v>
      </c>
      <c r="E10" s="108" t="n">
        <v>100</v>
      </c>
      <c r="F10" s="108" t="n">
        <f aca="false">IF(ISBLANK(C10),"",C10*E10)</f>
        <v>100</v>
      </c>
      <c r="G10" s="103"/>
      <c r="H10" s="113" t="n">
        <v>1</v>
      </c>
      <c r="I10" s="36" t="s">
        <v>209</v>
      </c>
      <c r="J10" s="108" t="n">
        <v>100</v>
      </c>
      <c r="K10" s="108" t="n">
        <f aca="false">IF(ISBLANK(H10),"",H10*J10)</f>
        <v>100</v>
      </c>
      <c r="L10" s="103"/>
      <c r="M10" s="113" t="n">
        <v>1</v>
      </c>
      <c r="N10" s="36" t="s">
        <v>209</v>
      </c>
      <c r="O10" s="108" t="n">
        <v>100</v>
      </c>
      <c r="P10" s="108" t="n">
        <f aca="false">IF(ISBLANK(M10),"",M10*O10)</f>
        <v>100</v>
      </c>
      <c r="Q10" s="103"/>
      <c r="R10" s="113" t="n">
        <v>1</v>
      </c>
      <c r="S10" s="36" t="s">
        <v>209</v>
      </c>
      <c r="T10" s="108" t="n">
        <v>100</v>
      </c>
      <c r="U10" s="108" t="n">
        <f aca="false">IF(ISBLANK(R10),"",R10*T10)</f>
        <v>100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398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/>
      <c r="X12" s="36" t="s">
        <v>116</v>
      </c>
      <c r="Y12" s="108"/>
      <c r="Z12" s="108" t="str">
        <f aca="false">IF(ISBLANK(W12),"",W12*Y12)</f>
        <v/>
      </c>
      <c r="AA12" s="103"/>
      <c r="AB12" s="113"/>
      <c r="AC12" s="36" t="s">
        <v>116</v>
      </c>
      <c r="AD12" s="108"/>
      <c r="AE12" s="108" t="str">
        <f aca="false">IF(ISBLANK(AB12),"",AB12*AD12)</f>
        <v/>
      </c>
      <c r="AF12" s="103"/>
      <c r="AG12" s="113"/>
      <c r="AH12" s="36" t="s">
        <v>116</v>
      </c>
      <c r="AI12" s="108"/>
      <c r="AJ12" s="108" t="str">
        <f aca="false">IF(ISBLANK(AG12),"",AG12*AI12)</f>
        <v/>
      </c>
      <c r="AK12" s="103"/>
      <c r="AL12" s="113"/>
      <c r="AM12" s="36" t="s">
        <v>116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399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70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/>
      <c r="Y15" s="108"/>
      <c r="Z15" s="108"/>
      <c r="AA15" s="103"/>
      <c r="AB15" s="113"/>
      <c r="AC15" s="36"/>
      <c r="AD15" s="108"/>
      <c r="AE15" s="108"/>
      <c r="AF15" s="103"/>
      <c r="AG15" s="113"/>
      <c r="AH15" s="36"/>
      <c r="AI15" s="108"/>
      <c r="AJ15" s="108"/>
      <c r="AK15" s="103"/>
      <c r="AL15" s="113"/>
      <c r="AM15" s="36"/>
      <c r="AN15" s="108"/>
      <c r="AO15" s="108"/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400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401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402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403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70"/>
      <c r="C23" s="113"/>
      <c r="D23" s="36"/>
      <c r="E23" s="108"/>
      <c r="F23" s="108"/>
      <c r="G23" s="103"/>
      <c r="H23" s="113"/>
      <c r="I23" s="36"/>
      <c r="J23" s="108"/>
      <c r="K23" s="108"/>
      <c r="L23" s="103"/>
      <c r="M23" s="113"/>
      <c r="N23" s="36"/>
      <c r="O23" s="108"/>
      <c r="P23" s="108"/>
      <c r="Q23" s="103"/>
      <c r="R23" s="113"/>
      <c r="S23" s="36"/>
      <c r="T23" s="108"/>
      <c r="U23" s="108"/>
      <c r="V23" s="103"/>
      <c r="W23" s="113"/>
      <c r="X23" s="36"/>
      <c r="Y23" s="108"/>
      <c r="Z23" s="108"/>
      <c r="AA23" s="103"/>
      <c r="AB23" s="113"/>
      <c r="AC23" s="36"/>
      <c r="AD23" s="108"/>
      <c r="AE23" s="108"/>
      <c r="AF23" s="103"/>
      <c r="AG23" s="113"/>
      <c r="AH23" s="36"/>
      <c r="AI23" s="108"/>
      <c r="AJ23" s="108"/>
      <c r="AK23" s="103"/>
      <c r="AL23" s="113"/>
      <c r="AM23" s="36"/>
      <c r="AN23" s="108"/>
      <c r="AO23" s="108"/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404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405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406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407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70"/>
      <c r="C31" s="115"/>
      <c r="D31" s="36"/>
      <c r="E31" s="108"/>
      <c r="F31" s="108"/>
      <c r="G31" s="103"/>
      <c r="H31" s="115"/>
      <c r="I31" s="36"/>
      <c r="J31" s="108"/>
      <c r="K31" s="108"/>
      <c r="L31" s="103"/>
      <c r="M31" s="115"/>
      <c r="N31" s="36"/>
      <c r="O31" s="108"/>
      <c r="P31" s="108"/>
      <c r="Q31" s="103"/>
      <c r="R31" s="115"/>
      <c r="S31" s="36"/>
      <c r="T31" s="108"/>
      <c r="U31" s="108"/>
      <c r="V31" s="103"/>
      <c r="W31" s="115"/>
      <c r="X31" s="36"/>
      <c r="Y31" s="108"/>
      <c r="Z31" s="108"/>
      <c r="AA31" s="103"/>
      <c r="AB31" s="115"/>
      <c r="AC31" s="36"/>
      <c r="AD31" s="108"/>
      <c r="AE31" s="108"/>
      <c r="AF31" s="103"/>
      <c r="AG31" s="115"/>
      <c r="AH31" s="36"/>
      <c r="AI31" s="108"/>
      <c r="AJ31" s="108"/>
      <c r="AK31" s="103"/>
      <c r="AL31" s="115"/>
      <c r="AM31" s="36"/>
      <c r="AN31" s="108"/>
      <c r="AO31" s="108"/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408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409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5"/>
      <c r="D35" s="36"/>
      <c r="E35" s="108"/>
      <c r="F35" s="108"/>
      <c r="G35" s="103"/>
      <c r="H35" s="115"/>
      <c r="I35" s="36"/>
      <c r="J35" s="108"/>
      <c r="K35" s="108"/>
      <c r="L35" s="103"/>
      <c r="M35" s="115"/>
      <c r="N35" s="36"/>
      <c r="O35" s="108"/>
      <c r="P35" s="108"/>
      <c r="Q35" s="103"/>
      <c r="R35" s="115"/>
      <c r="S35" s="36"/>
      <c r="T35" s="108"/>
      <c r="U35" s="108"/>
      <c r="V35" s="103"/>
      <c r="W35" s="115"/>
      <c r="X35" s="36"/>
      <c r="Y35" s="108"/>
      <c r="Z35" s="108"/>
      <c r="AA35" s="103"/>
      <c r="AB35" s="115"/>
      <c r="AC35" s="36"/>
      <c r="AD35" s="108"/>
      <c r="AE35" s="108"/>
      <c r="AF35" s="103"/>
      <c r="AG35" s="115"/>
      <c r="AH35" s="36"/>
      <c r="AI35" s="108"/>
      <c r="AJ35" s="108"/>
      <c r="AK35" s="103"/>
      <c r="AL35" s="115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410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411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70"/>
      <c r="C39" s="115"/>
      <c r="D39" s="36"/>
      <c r="E39" s="108"/>
      <c r="F39" s="108"/>
      <c r="G39" s="103"/>
      <c r="H39" s="115"/>
      <c r="I39" s="36"/>
      <c r="J39" s="108"/>
      <c r="K39" s="108"/>
      <c r="L39" s="103"/>
      <c r="M39" s="115"/>
      <c r="N39" s="36"/>
      <c r="O39" s="108"/>
      <c r="P39" s="108"/>
      <c r="Q39" s="103"/>
      <c r="R39" s="115"/>
      <c r="S39" s="36"/>
      <c r="T39" s="108"/>
      <c r="U39" s="108"/>
      <c r="V39" s="103"/>
      <c r="W39" s="115"/>
      <c r="X39" s="36"/>
      <c r="Y39" s="108"/>
      <c r="Z39" s="108"/>
      <c r="AA39" s="103"/>
      <c r="AB39" s="115"/>
      <c r="AC39" s="36"/>
      <c r="AD39" s="108"/>
      <c r="AE39" s="108"/>
      <c r="AF39" s="103"/>
      <c r="AG39" s="115"/>
      <c r="AH39" s="36"/>
      <c r="AI39" s="108"/>
      <c r="AJ39" s="108"/>
      <c r="AK39" s="103"/>
      <c r="AL39" s="115"/>
      <c r="AM39" s="36"/>
      <c r="AN39" s="108"/>
      <c r="AO39" s="108"/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412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413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IF(B46&gt;0,IF(C44&gt;0,MAX($A$5:A43)+1," ")," ")</f>
        <v>19</v>
      </c>
      <c r="B44" s="94" t="s">
        <v>414</v>
      </c>
      <c r="C44" s="113" t="n">
        <v>10</v>
      </c>
      <c r="D44" s="36" t="s">
        <v>269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269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269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269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269</v>
      </c>
      <c r="Y44" s="108"/>
      <c r="Z44" s="108" t="str">
        <f aca="false">IF(ISBLANK(W44),"",W44*Y44)</f>
        <v/>
      </c>
      <c r="AA44" s="103"/>
      <c r="AB44" s="113"/>
      <c r="AC44" s="36" t="s">
        <v>269</v>
      </c>
      <c r="AD44" s="108"/>
      <c r="AE44" s="108" t="str">
        <f aca="false">IF(ISBLANK(AB44),"",AB44*AD44)</f>
        <v/>
      </c>
      <c r="AF44" s="103"/>
      <c r="AG44" s="113"/>
      <c r="AH44" s="36" t="s">
        <v>269</v>
      </c>
      <c r="AI44" s="108"/>
      <c r="AJ44" s="108" t="str">
        <f aca="false">IF(ISBLANK(AG44),"",AG44*AI44)</f>
        <v/>
      </c>
      <c r="AK44" s="103"/>
      <c r="AL44" s="113"/>
      <c r="AM44" s="36" t="s">
        <v>269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IF(B47&gt;0,IF(C45&gt;0,MAX($A$5:A44)+1," ")," ")</f>
        <v> </v>
      </c>
      <c r="B45" s="114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IF(B48&gt;0,IF(C46&gt;0,MAX($A$5:A45)+1," ")," ")</f>
        <v>20</v>
      </c>
      <c r="B46" s="70" t="s">
        <v>415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/>
      <c r="X46" s="36" t="s">
        <v>116</v>
      </c>
      <c r="Y46" s="108"/>
      <c r="Z46" s="108" t="str">
        <f aca="false">IF(ISBLANK(W46),"",W46*Y46)</f>
        <v/>
      </c>
      <c r="AA46" s="103"/>
      <c r="AB46" s="113"/>
      <c r="AC46" s="36" t="s">
        <v>116</v>
      </c>
      <c r="AD46" s="108"/>
      <c r="AE46" s="108" t="str">
        <f aca="false">IF(ISBLANK(AB46),"",AB46*AD46)</f>
        <v/>
      </c>
      <c r="AF46" s="103"/>
      <c r="AG46" s="113"/>
      <c r="AH46" s="36" t="s">
        <v>116</v>
      </c>
      <c r="AI46" s="108"/>
      <c r="AJ46" s="108" t="str">
        <f aca="false">IF(ISBLANK(AG46),"",AG46*AI46)</f>
        <v/>
      </c>
      <c r="AK46" s="103"/>
      <c r="AL46" s="113"/>
      <c r="AM46" s="36" t="s">
        <v>116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IF(B48&gt;0,IF(C48&gt;0,MAX($A$5:A29)+1,"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IF(B53&gt;0,IF(C53&gt;0,MAX($A$3:A29)+1,"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18200</v>
      </c>
      <c r="G54" s="103"/>
      <c r="H54" s="98"/>
      <c r="I54" s="98"/>
      <c r="J54" s="117" t="s">
        <v>177</v>
      </c>
      <c r="K54" s="117" t="n">
        <f aca="false">SUM(K5:K53)</f>
        <v>18200</v>
      </c>
      <c r="L54" s="103"/>
      <c r="M54" s="98"/>
      <c r="N54" s="98"/>
      <c r="O54" s="117" t="s">
        <v>177</v>
      </c>
      <c r="P54" s="117" t="n">
        <f aca="false">SUM(P5:P53)</f>
        <v>18200</v>
      </c>
      <c r="Q54" s="103"/>
      <c r="R54" s="98"/>
      <c r="S54" s="98"/>
      <c r="T54" s="117" t="s">
        <v>177</v>
      </c>
      <c r="U54" s="117" t="n">
        <f aca="false">SUM(U5:U53)</f>
        <v>18200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2.8 Internal Doors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2.8 Internal Doors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416</v>
      </c>
      <c r="C8" s="113" t="n">
        <v>1</v>
      </c>
      <c r="D8" s="36" t="s">
        <v>209</v>
      </c>
      <c r="E8" s="108" t="n">
        <v>450</v>
      </c>
      <c r="F8" s="108" t="n">
        <f aca="false">IF(ISBLANK(C8),"",C8*E8)</f>
        <v>450</v>
      </c>
      <c r="G8" s="103"/>
      <c r="H8" s="113" t="n">
        <v>1</v>
      </c>
      <c r="I8" s="36" t="s">
        <v>209</v>
      </c>
      <c r="J8" s="108" t="n">
        <v>450</v>
      </c>
      <c r="K8" s="108" t="n">
        <f aca="false">IF(ISBLANK(H8),"",H8*J8)</f>
        <v>450</v>
      </c>
      <c r="L8" s="103"/>
      <c r="M8" s="113" t="n">
        <v>1</v>
      </c>
      <c r="N8" s="36" t="s">
        <v>209</v>
      </c>
      <c r="O8" s="108" t="n">
        <v>450</v>
      </c>
      <c r="P8" s="108" t="n">
        <f aca="false">IF(ISBLANK(M8),"",M8*O8)</f>
        <v>450</v>
      </c>
      <c r="Q8" s="103"/>
      <c r="R8" s="113" t="n">
        <v>1</v>
      </c>
      <c r="S8" s="36" t="s">
        <v>209</v>
      </c>
      <c r="T8" s="108" t="n">
        <v>450</v>
      </c>
      <c r="U8" s="108" t="n">
        <f aca="false">IF(ISBLANK(R8),"",R8*T8)</f>
        <v>450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417</v>
      </c>
      <c r="C10" s="113" t="n">
        <v>1</v>
      </c>
      <c r="D10" s="36" t="s">
        <v>209</v>
      </c>
      <c r="E10" s="108" t="n">
        <v>1000</v>
      </c>
      <c r="F10" s="108" t="n">
        <f aca="false">IF(ISBLANK(C10),"",C10*E10)</f>
        <v>1000</v>
      </c>
      <c r="G10" s="103"/>
      <c r="H10" s="113" t="n">
        <v>1</v>
      </c>
      <c r="I10" s="36" t="s">
        <v>209</v>
      </c>
      <c r="J10" s="108" t="n">
        <v>1000</v>
      </c>
      <c r="K10" s="108" t="n">
        <f aca="false">IF(ISBLANK(H10),"",H10*J10)</f>
        <v>1000</v>
      </c>
      <c r="L10" s="103"/>
      <c r="M10" s="113" t="n">
        <v>1</v>
      </c>
      <c r="N10" s="36" t="s">
        <v>209</v>
      </c>
      <c r="O10" s="108" t="n">
        <v>1000</v>
      </c>
      <c r="P10" s="108" t="n">
        <f aca="false">IF(ISBLANK(M10),"",M10*O10)</f>
        <v>1000</v>
      </c>
      <c r="Q10" s="103"/>
      <c r="R10" s="113" t="n">
        <v>1</v>
      </c>
      <c r="S10" s="36" t="s">
        <v>209</v>
      </c>
      <c r="T10" s="108" t="n">
        <v>1000</v>
      </c>
      <c r="U10" s="108" t="n">
        <f aca="false">IF(ISBLANK(R10),"",R10*T10)</f>
        <v>1000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418</v>
      </c>
      <c r="C12" s="113" t="n">
        <v>1</v>
      </c>
      <c r="D12" s="36" t="s">
        <v>209</v>
      </c>
      <c r="E12" s="108" t="n">
        <v>500</v>
      </c>
      <c r="F12" s="108" t="n">
        <f aca="false">IF(ISBLANK(C12),"",C12*E12)</f>
        <v>500</v>
      </c>
      <c r="G12" s="103"/>
      <c r="H12" s="113" t="n">
        <v>1</v>
      </c>
      <c r="I12" s="36" t="s">
        <v>209</v>
      </c>
      <c r="J12" s="108" t="n">
        <v>500</v>
      </c>
      <c r="K12" s="108" t="n">
        <f aca="false">IF(ISBLANK(H12),"",H12*J12)</f>
        <v>500</v>
      </c>
      <c r="L12" s="103"/>
      <c r="M12" s="113" t="n">
        <v>1</v>
      </c>
      <c r="N12" s="36" t="s">
        <v>209</v>
      </c>
      <c r="O12" s="108" t="n">
        <v>500</v>
      </c>
      <c r="P12" s="108" t="n">
        <f aca="false">IF(ISBLANK(M12),"",M12*O12)</f>
        <v>500</v>
      </c>
      <c r="Q12" s="103"/>
      <c r="R12" s="113" t="n">
        <v>1</v>
      </c>
      <c r="S12" s="36" t="s">
        <v>209</v>
      </c>
      <c r="T12" s="108" t="n">
        <v>500</v>
      </c>
      <c r="U12" s="108" t="n">
        <f aca="false">IF(ISBLANK(R12),"",R12*T12)</f>
        <v>500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419</v>
      </c>
      <c r="C14" s="113" t="n">
        <v>10</v>
      </c>
      <c r="D14" s="36" t="s">
        <v>118</v>
      </c>
      <c r="E14" s="108" t="n">
        <v>650</v>
      </c>
      <c r="F14" s="108" t="n">
        <f aca="false">IF(ISBLANK(C14),"",C14*E14)</f>
        <v>6500</v>
      </c>
      <c r="G14" s="103"/>
      <c r="H14" s="113" t="n">
        <v>10</v>
      </c>
      <c r="I14" s="36" t="s">
        <v>118</v>
      </c>
      <c r="J14" s="108" t="n">
        <v>650</v>
      </c>
      <c r="K14" s="108" t="n">
        <f aca="false">IF(ISBLANK(H14),"",H14*J14)</f>
        <v>6500</v>
      </c>
      <c r="L14" s="103"/>
      <c r="M14" s="113" t="n">
        <v>10</v>
      </c>
      <c r="N14" s="36" t="s">
        <v>118</v>
      </c>
      <c r="O14" s="108" t="n">
        <v>650</v>
      </c>
      <c r="P14" s="108" t="n">
        <f aca="false">IF(ISBLANK(M14),"",M14*O14)</f>
        <v>6500</v>
      </c>
      <c r="Q14" s="103"/>
      <c r="R14" s="113" t="n">
        <v>10</v>
      </c>
      <c r="S14" s="36" t="s">
        <v>118</v>
      </c>
      <c r="T14" s="108" t="n">
        <v>650</v>
      </c>
      <c r="U14" s="108" t="n">
        <f aca="false">IF(ISBLANK(R14),"",R14*T14)</f>
        <v>6500</v>
      </c>
      <c r="V14" s="103"/>
      <c r="W14" s="113"/>
      <c r="X14" s="36" t="s">
        <v>118</v>
      </c>
      <c r="Y14" s="108"/>
      <c r="Z14" s="108" t="str">
        <f aca="false">IF(ISBLANK(W14),"",W14*Y14)</f>
        <v/>
      </c>
      <c r="AA14" s="103"/>
      <c r="AB14" s="113"/>
      <c r="AC14" s="36" t="s">
        <v>118</v>
      </c>
      <c r="AD14" s="108"/>
      <c r="AE14" s="108" t="str">
        <f aca="false">IF(ISBLANK(AB14),"",AB14*AD14)</f>
        <v/>
      </c>
      <c r="AF14" s="103"/>
      <c r="AG14" s="113"/>
      <c r="AH14" s="36" t="s">
        <v>118</v>
      </c>
      <c r="AI14" s="108"/>
      <c r="AJ14" s="108" t="str">
        <f aca="false">IF(ISBLANK(AG14),"",AG14*AI14)</f>
        <v/>
      </c>
      <c r="AK14" s="103"/>
      <c r="AL14" s="113"/>
      <c r="AM14" s="36" t="s">
        <v>118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70"/>
      <c r="C15" s="113"/>
      <c r="D15" s="36"/>
      <c r="E15" s="108"/>
      <c r="F15" s="108"/>
      <c r="G15" s="103"/>
      <c r="H15" s="113"/>
      <c r="I15" s="36"/>
      <c r="J15" s="108"/>
      <c r="K15" s="108"/>
      <c r="L15" s="103"/>
      <c r="M15" s="113"/>
      <c r="N15" s="36"/>
      <c r="O15" s="108"/>
      <c r="P15" s="108"/>
      <c r="Q15" s="103"/>
      <c r="R15" s="113"/>
      <c r="S15" s="36"/>
      <c r="T15" s="108"/>
      <c r="U15" s="108"/>
      <c r="V15" s="103"/>
      <c r="W15" s="113"/>
      <c r="X15" s="36"/>
      <c r="Y15" s="108"/>
      <c r="Z15" s="108"/>
      <c r="AA15" s="103"/>
      <c r="AB15" s="113"/>
      <c r="AC15" s="36"/>
      <c r="AD15" s="108"/>
      <c r="AE15" s="108"/>
      <c r="AF15" s="103"/>
      <c r="AG15" s="113"/>
      <c r="AH15" s="36"/>
      <c r="AI15" s="108"/>
      <c r="AJ15" s="108"/>
      <c r="AK15" s="103"/>
      <c r="AL15" s="113"/>
      <c r="AM15" s="36"/>
      <c r="AN15" s="108"/>
      <c r="AO15" s="108"/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420</v>
      </c>
      <c r="C16" s="113" t="n">
        <v>10</v>
      </c>
      <c r="D16" s="36" t="s">
        <v>118</v>
      </c>
      <c r="E16" s="108" t="n">
        <v>1200</v>
      </c>
      <c r="F16" s="108" t="n">
        <f aca="false">IF(ISBLANK(C16),"",C16*E16)</f>
        <v>12000</v>
      </c>
      <c r="G16" s="103"/>
      <c r="H16" s="113" t="n">
        <v>10</v>
      </c>
      <c r="I16" s="36" t="s">
        <v>118</v>
      </c>
      <c r="J16" s="108" t="n">
        <v>1200</v>
      </c>
      <c r="K16" s="108" t="n">
        <f aca="false">IF(ISBLANK(H16),"",H16*J16)</f>
        <v>12000</v>
      </c>
      <c r="L16" s="103"/>
      <c r="M16" s="113" t="n">
        <v>10</v>
      </c>
      <c r="N16" s="36" t="s">
        <v>118</v>
      </c>
      <c r="O16" s="108" t="n">
        <v>1200</v>
      </c>
      <c r="P16" s="108" t="n">
        <f aca="false">IF(ISBLANK(M16),"",M16*O16)</f>
        <v>12000</v>
      </c>
      <c r="Q16" s="103"/>
      <c r="R16" s="113" t="n">
        <v>10</v>
      </c>
      <c r="S16" s="36" t="s">
        <v>118</v>
      </c>
      <c r="T16" s="108" t="n">
        <v>1200</v>
      </c>
      <c r="U16" s="108" t="n">
        <f aca="false">IF(ISBLANK(R16),"",R16*T16)</f>
        <v>12000</v>
      </c>
      <c r="V16" s="103"/>
      <c r="W16" s="113"/>
      <c r="X16" s="36" t="s">
        <v>118</v>
      </c>
      <c r="Y16" s="108"/>
      <c r="Z16" s="108" t="str">
        <f aca="false">IF(ISBLANK(W16),"",W16*Y16)</f>
        <v/>
      </c>
      <c r="AA16" s="103"/>
      <c r="AB16" s="113"/>
      <c r="AC16" s="36" t="s">
        <v>118</v>
      </c>
      <c r="AD16" s="108"/>
      <c r="AE16" s="108" t="str">
        <f aca="false">IF(ISBLANK(AB16),"",AB16*AD16)</f>
        <v/>
      </c>
      <c r="AF16" s="103"/>
      <c r="AG16" s="113"/>
      <c r="AH16" s="36" t="s">
        <v>118</v>
      </c>
      <c r="AI16" s="108"/>
      <c r="AJ16" s="108" t="str">
        <f aca="false">IF(ISBLANK(AG16),"",AG16*AI16)</f>
        <v/>
      </c>
      <c r="AK16" s="103"/>
      <c r="AL16" s="113"/>
      <c r="AM16" s="36" t="s">
        <v>118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421</v>
      </c>
      <c r="C18" s="113" t="n">
        <v>10</v>
      </c>
      <c r="D18" s="36" t="s">
        <v>118</v>
      </c>
      <c r="E18" s="108" t="n">
        <v>800</v>
      </c>
      <c r="F18" s="108" t="n">
        <f aca="false">IF(ISBLANK(C18),"",C18*E18)</f>
        <v>8000</v>
      </c>
      <c r="G18" s="103"/>
      <c r="H18" s="113" t="n">
        <v>10</v>
      </c>
      <c r="I18" s="36" t="s">
        <v>118</v>
      </c>
      <c r="J18" s="108" t="n">
        <v>800</v>
      </c>
      <c r="K18" s="108" t="n">
        <f aca="false">IF(ISBLANK(H18),"",H18*J18)</f>
        <v>8000</v>
      </c>
      <c r="L18" s="103"/>
      <c r="M18" s="113" t="n">
        <v>10</v>
      </c>
      <c r="N18" s="36" t="s">
        <v>118</v>
      </c>
      <c r="O18" s="108" t="n">
        <v>800</v>
      </c>
      <c r="P18" s="108" t="n">
        <f aca="false">IF(ISBLANK(M18),"",M18*O18)</f>
        <v>8000</v>
      </c>
      <c r="Q18" s="103"/>
      <c r="R18" s="113" t="n">
        <v>10</v>
      </c>
      <c r="S18" s="36" t="s">
        <v>118</v>
      </c>
      <c r="T18" s="108" t="n">
        <v>800</v>
      </c>
      <c r="U18" s="108" t="n">
        <f aca="false">IF(ISBLANK(R18),"",R18*T18)</f>
        <v>8000</v>
      </c>
      <c r="V18" s="103"/>
      <c r="W18" s="113"/>
      <c r="X18" s="36" t="s">
        <v>118</v>
      </c>
      <c r="Y18" s="108"/>
      <c r="Z18" s="108" t="str">
        <f aca="false">IF(ISBLANK(W18),"",W18*Y18)</f>
        <v/>
      </c>
      <c r="AA18" s="103"/>
      <c r="AB18" s="113"/>
      <c r="AC18" s="36" t="s">
        <v>118</v>
      </c>
      <c r="AD18" s="108"/>
      <c r="AE18" s="108" t="str">
        <f aca="false">IF(ISBLANK(AB18),"",AB18*AD18)</f>
        <v/>
      </c>
      <c r="AF18" s="103"/>
      <c r="AG18" s="113"/>
      <c r="AH18" s="36" t="s">
        <v>118</v>
      </c>
      <c r="AI18" s="108"/>
      <c r="AJ18" s="108" t="str">
        <f aca="false">IF(ISBLANK(AG18),"",AG18*AI18)</f>
        <v/>
      </c>
      <c r="AK18" s="103"/>
      <c r="AL18" s="113"/>
      <c r="AM18" s="36" t="s">
        <v>118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422</v>
      </c>
      <c r="C20" s="113" t="n">
        <v>10</v>
      </c>
      <c r="D20" s="36" t="s">
        <v>118</v>
      </c>
      <c r="E20" s="108" t="n">
        <v>350</v>
      </c>
      <c r="F20" s="108" t="n">
        <f aca="false">IF(ISBLANK(C20),"",C20*E20)</f>
        <v>3500</v>
      </c>
      <c r="G20" s="103"/>
      <c r="H20" s="113" t="n">
        <v>10</v>
      </c>
      <c r="I20" s="36" t="s">
        <v>118</v>
      </c>
      <c r="J20" s="108" t="n">
        <v>350</v>
      </c>
      <c r="K20" s="108" t="n">
        <f aca="false">IF(ISBLANK(H20),"",H20*J20)</f>
        <v>3500</v>
      </c>
      <c r="L20" s="103"/>
      <c r="M20" s="113" t="n">
        <v>10</v>
      </c>
      <c r="N20" s="36" t="s">
        <v>118</v>
      </c>
      <c r="O20" s="108" t="n">
        <v>350</v>
      </c>
      <c r="P20" s="108" t="n">
        <f aca="false">IF(ISBLANK(M20),"",M20*O20)</f>
        <v>3500</v>
      </c>
      <c r="Q20" s="103"/>
      <c r="R20" s="113" t="n">
        <v>10</v>
      </c>
      <c r="S20" s="36" t="s">
        <v>118</v>
      </c>
      <c r="T20" s="108" t="n">
        <v>350</v>
      </c>
      <c r="U20" s="108" t="n">
        <f aca="false">IF(ISBLANK(R20),"",R20*T20)</f>
        <v>3500</v>
      </c>
      <c r="V20" s="103"/>
      <c r="W20" s="113"/>
      <c r="X20" s="36" t="s">
        <v>118</v>
      </c>
      <c r="Y20" s="108"/>
      <c r="Z20" s="108" t="str">
        <f aca="false">IF(ISBLANK(W20),"",W20*Y20)</f>
        <v/>
      </c>
      <c r="AA20" s="103"/>
      <c r="AB20" s="113"/>
      <c r="AC20" s="36" t="s">
        <v>118</v>
      </c>
      <c r="AD20" s="108"/>
      <c r="AE20" s="108" t="str">
        <f aca="false">IF(ISBLANK(AB20),"",AB20*AD20)</f>
        <v/>
      </c>
      <c r="AF20" s="103"/>
      <c r="AG20" s="113"/>
      <c r="AH20" s="36" t="s">
        <v>118</v>
      </c>
      <c r="AI20" s="108"/>
      <c r="AJ20" s="108" t="str">
        <f aca="false">IF(ISBLANK(AG20),"",AG20*AI20)</f>
        <v/>
      </c>
      <c r="AK20" s="103"/>
      <c r="AL20" s="113"/>
      <c r="AM20" s="36" t="s">
        <v>118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423</v>
      </c>
      <c r="C22" s="113" t="n">
        <v>5</v>
      </c>
      <c r="D22" s="36" t="s">
        <v>118</v>
      </c>
      <c r="E22" s="108" t="n">
        <v>950</v>
      </c>
      <c r="F22" s="108" t="n">
        <f aca="false">IF(ISBLANK(C22),"",C22*E22)</f>
        <v>4750</v>
      </c>
      <c r="G22" s="103"/>
      <c r="H22" s="113" t="n">
        <v>5</v>
      </c>
      <c r="I22" s="36" t="s">
        <v>118</v>
      </c>
      <c r="J22" s="108" t="n">
        <v>950</v>
      </c>
      <c r="K22" s="108" t="n">
        <f aca="false">IF(ISBLANK(H22),"",H22*J22)</f>
        <v>4750</v>
      </c>
      <c r="L22" s="103"/>
      <c r="M22" s="113" t="n">
        <v>5</v>
      </c>
      <c r="N22" s="36" t="s">
        <v>118</v>
      </c>
      <c r="O22" s="108" t="n">
        <v>950</v>
      </c>
      <c r="P22" s="108" t="n">
        <f aca="false">IF(ISBLANK(M22),"",M22*O22)</f>
        <v>4750</v>
      </c>
      <c r="Q22" s="103"/>
      <c r="R22" s="113" t="n">
        <v>5</v>
      </c>
      <c r="S22" s="36" t="s">
        <v>118</v>
      </c>
      <c r="T22" s="108" t="n">
        <v>950</v>
      </c>
      <c r="U22" s="108" t="n">
        <f aca="false">IF(ISBLANK(R22),"",R22*T22)</f>
        <v>4750</v>
      </c>
      <c r="V22" s="103"/>
      <c r="W22" s="113"/>
      <c r="X22" s="36" t="s">
        <v>118</v>
      </c>
      <c r="Y22" s="108"/>
      <c r="Z22" s="108" t="str">
        <f aca="false">IF(ISBLANK(W22),"",W22*Y22)</f>
        <v/>
      </c>
      <c r="AA22" s="103"/>
      <c r="AB22" s="113"/>
      <c r="AC22" s="36" t="s">
        <v>118</v>
      </c>
      <c r="AD22" s="108"/>
      <c r="AE22" s="108" t="str">
        <f aca="false">IF(ISBLANK(AB22),"",AB22*AD22)</f>
        <v/>
      </c>
      <c r="AF22" s="103"/>
      <c r="AG22" s="113"/>
      <c r="AH22" s="36" t="s">
        <v>118</v>
      </c>
      <c r="AI22" s="108"/>
      <c r="AJ22" s="108" t="str">
        <f aca="false">IF(ISBLANK(AG22),"",AG22*AI22)</f>
        <v/>
      </c>
      <c r="AK22" s="103"/>
      <c r="AL22" s="113"/>
      <c r="AM22" s="36" t="s">
        <v>118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70"/>
      <c r="C23" s="113"/>
      <c r="D23" s="36"/>
      <c r="E23" s="108"/>
      <c r="F23" s="108"/>
      <c r="G23" s="103"/>
      <c r="H23" s="113"/>
      <c r="I23" s="36"/>
      <c r="J23" s="108"/>
      <c r="K23" s="108"/>
      <c r="L23" s="103"/>
      <c r="M23" s="113"/>
      <c r="N23" s="36"/>
      <c r="O23" s="108"/>
      <c r="P23" s="108"/>
      <c r="Q23" s="103"/>
      <c r="R23" s="113"/>
      <c r="S23" s="36"/>
      <c r="T23" s="108"/>
      <c r="U23" s="108"/>
      <c r="V23" s="103"/>
      <c r="W23" s="113"/>
      <c r="X23" s="36"/>
      <c r="Y23" s="108"/>
      <c r="Z23" s="108"/>
      <c r="AA23" s="103"/>
      <c r="AB23" s="113"/>
      <c r="AC23" s="36"/>
      <c r="AD23" s="108"/>
      <c r="AE23" s="108"/>
      <c r="AF23" s="103"/>
      <c r="AG23" s="113"/>
      <c r="AH23" s="36"/>
      <c r="AI23" s="108"/>
      <c r="AJ23" s="108"/>
      <c r="AK23" s="103"/>
      <c r="AL23" s="113"/>
      <c r="AM23" s="36"/>
      <c r="AN23" s="108"/>
      <c r="AO23" s="108"/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424</v>
      </c>
      <c r="C24" s="113" t="n">
        <v>6</v>
      </c>
      <c r="D24" s="36" t="s">
        <v>118</v>
      </c>
      <c r="E24" s="108" t="n">
        <v>950</v>
      </c>
      <c r="F24" s="108" t="n">
        <f aca="false">IF(ISBLANK(C24),"",C24*E24)</f>
        <v>5700</v>
      </c>
      <c r="G24" s="103"/>
      <c r="H24" s="113" t="n">
        <v>6</v>
      </c>
      <c r="I24" s="36" t="s">
        <v>118</v>
      </c>
      <c r="J24" s="108" t="n">
        <v>950</v>
      </c>
      <c r="K24" s="108" t="n">
        <f aca="false">IF(ISBLANK(H24),"",H24*J24)</f>
        <v>5700</v>
      </c>
      <c r="L24" s="103"/>
      <c r="M24" s="113" t="n">
        <v>6</v>
      </c>
      <c r="N24" s="36" t="s">
        <v>118</v>
      </c>
      <c r="O24" s="108" t="n">
        <v>950</v>
      </c>
      <c r="P24" s="108" t="n">
        <f aca="false">IF(ISBLANK(M24),"",M24*O24)</f>
        <v>5700</v>
      </c>
      <c r="Q24" s="103"/>
      <c r="R24" s="113" t="n">
        <v>6</v>
      </c>
      <c r="S24" s="36" t="s">
        <v>118</v>
      </c>
      <c r="T24" s="108" t="n">
        <v>950</v>
      </c>
      <c r="U24" s="108" t="n">
        <f aca="false">IF(ISBLANK(R24),"",R24*T24)</f>
        <v>5700</v>
      </c>
      <c r="V24" s="103"/>
      <c r="W24" s="113"/>
      <c r="X24" s="36" t="s">
        <v>118</v>
      </c>
      <c r="Y24" s="108"/>
      <c r="Z24" s="108" t="str">
        <f aca="false">IF(ISBLANK(W24),"",W24*Y24)</f>
        <v/>
      </c>
      <c r="AA24" s="103"/>
      <c r="AB24" s="113"/>
      <c r="AC24" s="36" t="s">
        <v>118</v>
      </c>
      <c r="AD24" s="108"/>
      <c r="AE24" s="108" t="str">
        <f aca="false">IF(ISBLANK(AB24),"",AB24*AD24)</f>
        <v/>
      </c>
      <c r="AF24" s="103"/>
      <c r="AG24" s="113"/>
      <c r="AH24" s="36" t="s">
        <v>118</v>
      </c>
      <c r="AI24" s="108"/>
      <c r="AJ24" s="108" t="str">
        <f aca="false">IF(ISBLANK(AG24),"",AG24*AI24)</f>
        <v/>
      </c>
      <c r="AK24" s="103"/>
      <c r="AL24" s="113"/>
      <c r="AM24" s="36" t="s">
        <v>118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425</v>
      </c>
      <c r="C26" s="113" t="n">
        <v>5</v>
      </c>
      <c r="D26" s="36" t="s">
        <v>118</v>
      </c>
      <c r="E26" s="108" t="n">
        <v>600</v>
      </c>
      <c r="F26" s="108" t="n">
        <f aca="false">IF(ISBLANK(C26),"",C26*E26)</f>
        <v>3000</v>
      </c>
      <c r="G26" s="103"/>
      <c r="H26" s="113" t="n">
        <v>5</v>
      </c>
      <c r="I26" s="36" t="s">
        <v>118</v>
      </c>
      <c r="J26" s="108" t="n">
        <v>600</v>
      </c>
      <c r="K26" s="108" t="n">
        <f aca="false">IF(ISBLANK(H26),"",H26*J26)</f>
        <v>3000</v>
      </c>
      <c r="L26" s="103"/>
      <c r="M26" s="113" t="n">
        <v>5</v>
      </c>
      <c r="N26" s="36" t="s">
        <v>118</v>
      </c>
      <c r="O26" s="108" t="n">
        <v>600</v>
      </c>
      <c r="P26" s="108" t="n">
        <f aca="false">IF(ISBLANK(M26),"",M26*O26)</f>
        <v>3000</v>
      </c>
      <c r="Q26" s="103"/>
      <c r="R26" s="113" t="n">
        <v>5</v>
      </c>
      <c r="S26" s="36" t="s">
        <v>118</v>
      </c>
      <c r="T26" s="108" t="n">
        <v>600</v>
      </c>
      <c r="U26" s="108" t="n">
        <f aca="false">IF(ISBLANK(R26),"",R26*T26)</f>
        <v>3000</v>
      </c>
      <c r="V26" s="103"/>
      <c r="W26" s="113"/>
      <c r="X26" s="36" t="s">
        <v>118</v>
      </c>
      <c r="Y26" s="108"/>
      <c r="Z26" s="108" t="str">
        <f aca="false">IF(ISBLANK(W26),"",W26*Y26)</f>
        <v/>
      </c>
      <c r="AA26" s="103"/>
      <c r="AB26" s="113"/>
      <c r="AC26" s="36" t="s">
        <v>118</v>
      </c>
      <c r="AD26" s="108"/>
      <c r="AE26" s="108" t="str">
        <f aca="false">IF(ISBLANK(AB26),"",AB26*AD26)</f>
        <v/>
      </c>
      <c r="AF26" s="103"/>
      <c r="AG26" s="113"/>
      <c r="AH26" s="36" t="s">
        <v>118</v>
      </c>
      <c r="AI26" s="108"/>
      <c r="AJ26" s="108" t="str">
        <f aca="false">IF(ISBLANK(AG26),"",AG26*AI26)</f>
        <v/>
      </c>
      <c r="AK26" s="103"/>
      <c r="AL26" s="113"/>
      <c r="AM26" s="36" t="s">
        <v>118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426</v>
      </c>
      <c r="C28" s="113" t="n">
        <v>10</v>
      </c>
      <c r="D28" s="36" t="s">
        <v>118</v>
      </c>
      <c r="E28" s="108" t="n">
        <v>1200</v>
      </c>
      <c r="F28" s="108" t="n">
        <f aca="false">IF(ISBLANK(C28),"",C28*E28)</f>
        <v>12000</v>
      </c>
      <c r="G28" s="103"/>
      <c r="H28" s="113" t="n">
        <v>10</v>
      </c>
      <c r="I28" s="36" t="s">
        <v>118</v>
      </c>
      <c r="J28" s="108" t="n">
        <v>1200</v>
      </c>
      <c r="K28" s="108" t="n">
        <f aca="false">IF(ISBLANK(H28),"",H28*J28)</f>
        <v>12000</v>
      </c>
      <c r="L28" s="103"/>
      <c r="M28" s="113" t="n">
        <v>10</v>
      </c>
      <c r="N28" s="36" t="s">
        <v>118</v>
      </c>
      <c r="O28" s="108" t="n">
        <v>1200</v>
      </c>
      <c r="P28" s="108" t="n">
        <f aca="false">IF(ISBLANK(M28),"",M28*O28)</f>
        <v>12000</v>
      </c>
      <c r="Q28" s="103"/>
      <c r="R28" s="113" t="n">
        <v>10</v>
      </c>
      <c r="S28" s="36" t="s">
        <v>118</v>
      </c>
      <c r="T28" s="108" t="n">
        <v>1200</v>
      </c>
      <c r="U28" s="108" t="n">
        <f aca="false">IF(ISBLANK(R28),"",R28*T28)</f>
        <v>12000</v>
      </c>
      <c r="V28" s="103"/>
      <c r="W28" s="113"/>
      <c r="X28" s="36" t="s">
        <v>118</v>
      </c>
      <c r="Y28" s="108"/>
      <c r="Z28" s="108" t="str">
        <f aca="false">IF(ISBLANK(W28),"",W28*Y28)</f>
        <v/>
      </c>
      <c r="AA28" s="103"/>
      <c r="AB28" s="113"/>
      <c r="AC28" s="36" t="s">
        <v>118</v>
      </c>
      <c r="AD28" s="108"/>
      <c r="AE28" s="108" t="str">
        <f aca="false">IF(ISBLANK(AB28),"",AB28*AD28)</f>
        <v/>
      </c>
      <c r="AF28" s="103"/>
      <c r="AG28" s="113"/>
      <c r="AH28" s="36" t="s">
        <v>118</v>
      </c>
      <c r="AI28" s="108"/>
      <c r="AJ28" s="108" t="str">
        <f aca="false">IF(ISBLANK(AG28),"",AG28*AI28)</f>
        <v/>
      </c>
      <c r="AK28" s="103"/>
      <c r="AL28" s="113"/>
      <c r="AM28" s="36" t="s">
        <v>118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427</v>
      </c>
      <c r="C30" s="113" t="n">
        <v>5</v>
      </c>
      <c r="D30" s="36" t="s">
        <v>118</v>
      </c>
      <c r="E30" s="108" t="n">
        <v>1800</v>
      </c>
      <c r="F30" s="108" t="n">
        <f aca="false">IF(ISBLANK(C30),"",C30*E30)</f>
        <v>9000</v>
      </c>
      <c r="G30" s="103"/>
      <c r="H30" s="113" t="n">
        <v>5</v>
      </c>
      <c r="I30" s="36" t="s">
        <v>118</v>
      </c>
      <c r="J30" s="108" t="n">
        <v>1800</v>
      </c>
      <c r="K30" s="108" t="n">
        <f aca="false">IF(ISBLANK(H30),"",H30*J30)</f>
        <v>9000</v>
      </c>
      <c r="L30" s="103"/>
      <c r="M30" s="113" t="n">
        <v>5</v>
      </c>
      <c r="N30" s="36" t="s">
        <v>118</v>
      </c>
      <c r="O30" s="108" t="n">
        <v>1800</v>
      </c>
      <c r="P30" s="108" t="n">
        <f aca="false">IF(ISBLANK(M30),"",M30*O30)</f>
        <v>9000</v>
      </c>
      <c r="Q30" s="103"/>
      <c r="R30" s="113" t="n">
        <v>5</v>
      </c>
      <c r="S30" s="36" t="s">
        <v>118</v>
      </c>
      <c r="T30" s="108" t="n">
        <v>1800</v>
      </c>
      <c r="U30" s="108" t="n">
        <f aca="false">IF(ISBLANK(R30),"",R30*T30)</f>
        <v>9000</v>
      </c>
      <c r="V30" s="103"/>
      <c r="W30" s="113"/>
      <c r="X30" s="36" t="s">
        <v>118</v>
      </c>
      <c r="Y30" s="108"/>
      <c r="Z30" s="108" t="str">
        <f aca="false">IF(ISBLANK(W30),"",W30*Y30)</f>
        <v/>
      </c>
      <c r="AA30" s="103"/>
      <c r="AB30" s="113"/>
      <c r="AC30" s="36" t="s">
        <v>118</v>
      </c>
      <c r="AD30" s="108"/>
      <c r="AE30" s="108" t="str">
        <f aca="false">IF(ISBLANK(AB30),"",AB30*AD30)</f>
        <v/>
      </c>
      <c r="AF30" s="103"/>
      <c r="AG30" s="113"/>
      <c r="AH30" s="36" t="s">
        <v>118</v>
      </c>
      <c r="AI30" s="108"/>
      <c r="AJ30" s="108" t="str">
        <f aca="false">IF(ISBLANK(AG30),"",AG30*AI30)</f>
        <v/>
      </c>
      <c r="AK30" s="103"/>
      <c r="AL30" s="113"/>
      <c r="AM30" s="36" t="s">
        <v>118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70"/>
      <c r="C31" s="113"/>
      <c r="D31" s="36"/>
      <c r="E31" s="108"/>
      <c r="F31" s="108"/>
      <c r="G31" s="103"/>
      <c r="H31" s="113"/>
      <c r="I31" s="36"/>
      <c r="J31" s="108"/>
      <c r="K31" s="108"/>
      <c r="L31" s="103"/>
      <c r="M31" s="113"/>
      <c r="N31" s="36"/>
      <c r="O31" s="108"/>
      <c r="P31" s="108"/>
      <c r="Q31" s="103"/>
      <c r="R31" s="113"/>
      <c r="S31" s="36"/>
      <c r="T31" s="108"/>
      <c r="U31" s="108"/>
      <c r="V31" s="103"/>
      <c r="W31" s="113"/>
      <c r="X31" s="36"/>
      <c r="Y31" s="108"/>
      <c r="Z31" s="108"/>
      <c r="AA31" s="103"/>
      <c r="AB31" s="113"/>
      <c r="AC31" s="36"/>
      <c r="AD31" s="108"/>
      <c r="AE31" s="108"/>
      <c r="AF31" s="103"/>
      <c r="AG31" s="113"/>
      <c r="AH31" s="36"/>
      <c r="AI31" s="108"/>
      <c r="AJ31" s="108"/>
      <c r="AK31" s="103"/>
      <c r="AL31" s="113"/>
      <c r="AM31" s="36"/>
      <c r="AN31" s="108"/>
      <c r="AO31" s="108"/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428</v>
      </c>
      <c r="C32" s="113" t="n">
        <v>6</v>
      </c>
      <c r="D32" s="36" t="s">
        <v>118</v>
      </c>
      <c r="E32" s="108" t="n">
        <v>2200</v>
      </c>
      <c r="F32" s="108" t="n">
        <f aca="false">IF(ISBLANK(C32),"",C32*E32)</f>
        <v>13200</v>
      </c>
      <c r="G32" s="103"/>
      <c r="H32" s="113" t="n">
        <v>6</v>
      </c>
      <c r="I32" s="36" t="s">
        <v>118</v>
      </c>
      <c r="J32" s="108" t="n">
        <v>2200</v>
      </c>
      <c r="K32" s="108" t="n">
        <f aca="false">IF(ISBLANK(H32),"",H32*J32)</f>
        <v>13200</v>
      </c>
      <c r="L32" s="103"/>
      <c r="M32" s="113" t="n">
        <v>6</v>
      </c>
      <c r="N32" s="36" t="s">
        <v>118</v>
      </c>
      <c r="O32" s="108" t="n">
        <v>2200</v>
      </c>
      <c r="P32" s="108" t="n">
        <f aca="false">IF(ISBLANK(M32),"",M32*O32)</f>
        <v>13200</v>
      </c>
      <c r="Q32" s="103"/>
      <c r="R32" s="113" t="n">
        <v>6</v>
      </c>
      <c r="S32" s="36" t="s">
        <v>118</v>
      </c>
      <c r="T32" s="108" t="n">
        <v>2200</v>
      </c>
      <c r="U32" s="108" t="n">
        <f aca="false">IF(ISBLANK(R32),"",R32*T32)</f>
        <v>13200</v>
      </c>
      <c r="V32" s="103"/>
      <c r="W32" s="113"/>
      <c r="X32" s="36" t="s">
        <v>118</v>
      </c>
      <c r="Y32" s="108"/>
      <c r="Z32" s="108" t="str">
        <f aca="false">IF(ISBLANK(W32),"",W32*Y32)</f>
        <v/>
      </c>
      <c r="AA32" s="103"/>
      <c r="AB32" s="113"/>
      <c r="AC32" s="36" t="s">
        <v>118</v>
      </c>
      <c r="AD32" s="108"/>
      <c r="AE32" s="108" t="str">
        <f aca="false">IF(ISBLANK(AB32),"",AB32*AD32)</f>
        <v/>
      </c>
      <c r="AF32" s="103"/>
      <c r="AG32" s="113"/>
      <c r="AH32" s="36" t="s">
        <v>118</v>
      </c>
      <c r="AI32" s="108"/>
      <c r="AJ32" s="108" t="str">
        <f aca="false">IF(ISBLANK(AG32),"",AG32*AI32)</f>
        <v/>
      </c>
      <c r="AK32" s="103"/>
      <c r="AL32" s="113"/>
      <c r="AM32" s="36" t="s">
        <v>118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429</v>
      </c>
      <c r="C34" s="113" t="n">
        <v>10</v>
      </c>
      <c r="D34" s="36" t="s">
        <v>118</v>
      </c>
      <c r="E34" s="108" t="n">
        <v>85</v>
      </c>
      <c r="F34" s="108" t="n">
        <f aca="false">IF(ISBLANK(C34),"",C34*E34)</f>
        <v>850</v>
      </c>
      <c r="G34" s="103"/>
      <c r="H34" s="113" t="n">
        <v>10</v>
      </c>
      <c r="I34" s="36" t="s">
        <v>118</v>
      </c>
      <c r="J34" s="108" t="n">
        <v>85</v>
      </c>
      <c r="K34" s="108" t="n">
        <f aca="false">IF(ISBLANK(H34),"",H34*J34)</f>
        <v>850</v>
      </c>
      <c r="L34" s="103"/>
      <c r="M34" s="113" t="n">
        <v>10</v>
      </c>
      <c r="N34" s="36" t="s">
        <v>118</v>
      </c>
      <c r="O34" s="108" t="n">
        <v>85</v>
      </c>
      <c r="P34" s="108" t="n">
        <f aca="false">IF(ISBLANK(M34),"",M34*O34)</f>
        <v>850</v>
      </c>
      <c r="Q34" s="103"/>
      <c r="R34" s="113" t="n">
        <v>10</v>
      </c>
      <c r="S34" s="36" t="s">
        <v>118</v>
      </c>
      <c r="T34" s="108" t="n">
        <v>85</v>
      </c>
      <c r="U34" s="108" t="n">
        <f aca="false">IF(ISBLANK(R34),"",R34*T34)</f>
        <v>850</v>
      </c>
      <c r="V34" s="103"/>
      <c r="W34" s="113"/>
      <c r="X34" s="36" t="s">
        <v>118</v>
      </c>
      <c r="Y34" s="108"/>
      <c r="Z34" s="108" t="str">
        <f aca="false">IF(ISBLANK(W34),"",W34*Y34)</f>
        <v/>
      </c>
      <c r="AA34" s="103"/>
      <c r="AB34" s="113"/>
      <c r="AC34" s="36" t="s">
        <v>118</v>
      </c>
      <c r="AD34" s="108"/>
      <c r="AE34" s="108" t="str">
        <f aca="false">IF(ISBLANK(AB34),"",AB34*AD34)</f>
        <v/>
      </c>
      <c r="AF34" s="103"/>
      <c r="AG34" s="113"/>
      <c r="AH34" s="36" t="s">
        <v>118</v>
      </c>
      <c r="AI34" s="108"/>
      <c r="AJ34" s="108" t="str">
        <f aca="false">IF(ISBLANK(AG34),"",AG34*AI34)</f>
        <v/>
      </c>
      <c r="AK34" s="103"/>
      <c r="AL34" s="113"/>
      <c r="AM34" s="36" t="s">
        <v>118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430</v>
      </c>
      <c r="C36" s="113" t="n">
        <v>7</v>
      </c>
      <c r="D36" s="36" t="s">
        <v>118</v>
      </c>
      <c r="E36" s="108" t="n">
        <v>45</v>
      </c>
      <c r="F36" s="108" t="n">
        <f aca="false">IF(ISBLANK(C36),"",C36*E36)</f>
        <v>315</v>
      </c>
      <c r="G36" s="103"/>
      <c r="H36" s="113" t="n">
        <v>7</v>
      </c>
      <c r="I36" s="36" t="s">
        <v>118</v>
      </c>
      <c r="J36" s="108" t="n">
        <v>45</v>
      </c>
      <c r="K36" s="108" t="n">
        <f aca="false">IF(ISBLANK(H36),"",H36*J36)</f>
        <v>315</v>
      </c>
      <c r="L36" s="103"/>
      <c r="M36" s="113" t="n">
        <v>7</v>
      </c>
      <c r="N36" s="36" t="s">
        <v>118</v>
      </c>
      <c r="O36" s="108" t="n">
        <v>45</v>
      </c>
      <c r="P36" s="108" t="n">
        <f aca="false">IF(ISBLANK(M36),"",M36*O36)</f>
        <v>315</v>
      </c>
      <c r="Q36" s="103"/>
      <c r="R36" s="113" t="n">
        <v>7</v>
      </c>
      <c r="S36" s="36" t="s">
        <v>118</v>
      </c>
      <c r="T36" s="108" t="n">
        <v>45</v>
      </c>
      <c r="U36" s="108" t="n">
        <f aca="false">IF(ISBLANK(R36),"",R36*T36)</f>
        <v>315</v>
      </c>
      <c r="V36" s="103"/>
      <c r="W36" s="113"/>
      <c r="X36" s="36" t="s">
        <v>118</v>
      </c>
      <c r="Y36" s="108"/>
      <c r="Z36" s="108" t="str">
        <f aca="false">IF(ISBLANK(W36),"",W36*Y36)</f>
        <v/>
      </c>
      <c r="AA36" s="103"/>
      <c r="AB36" s="113"/>
      <c r="AC36" s="36" t="s">
        <v>118</v>
      </c>
      <c r="AD36" s="108"/>
      <c r="AE36" s="108" t="str">
        <f aca="false">IF(ISBLANK(AB36),"",AB36*AD36)</f>
        <v/>
      </c>
      <c r="AF36" s="103"/>
      <c r="AG36" s="113"/>
      <c r="AH36" s="36" t="s">
        <v>118</v>
      </c>
      <c r="AI36" s="108"/>
      <c r="AJ36" s="108" t="str">
        <f aca="false">IF(ISBLANK(AG36),"",AG36*AI36)</f>
        <v/>
      </c>
      <c r="AK36" s="103"/>
      <c r="AL36" s="113"/>
      <c r="AM36" s="36" t="s">
        <v>118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431</v>
      </c>
      <c r="C38" s="113" t="n">
        <v>7</v>
      </c>
      <c r="D38" s="36" t="s">
        <v>118</v>
      </c>
      <c r="E38" s="108" t="n">
        <v>950</v>
      </c>
      <c r="F38" s="108" t="n">
        <f aca="false">IF(ISBLANK(C38),"",C38*E38)</f>
        <v>6650</v>
      </c>
      <c r="G38" s="103"/>
      <c r="H38" s="113" t="n">
        <v>7</v>
      </c>
      <c r="I38" s="36" t="s">
        <v>118</v>
      </c>
      <c r="J38" s="108" t="n">
        <v>950</v>
      </c>
      <c r="K38" s="108" t="n">
        <f aca="false">IF(ISBLANK(H38),"",H38*J38)</f>
        <v>6650</v>
      </c>
      <c r="L38" s="103"/>
      <c r="M38" s="113" t="n">
        <v>7</v>
      </c>
      <c r="N38" s="36" t="s">
        <v>118</v>
      </c>
      <c r="O38" s="108" t="n">
        <v>950</v>
      </c>
      <c r="P38" s="108" t="n">
        <f aca="false">IF(ISBLANK(M38),"",M38*O38)</f>
        <v>6650</v>
      </c>
      <c r="Q38" s="103"/>
      <c r="R38" s="113" t="n">
        <v>7</v>
      </c>
      <c r="S38" s="36" t="s">
        <v>118</v>
      </c>
      <c r="T38" s="108" t="n">
        <v>950</v>
      </c>
      <c r="U38" s="108" t="n">
        <f aca="false">IF(ISBLANK(R38),"",R38*T38)</f>
        <v>6650</v>
      </c>
      <c r="V38" s="103"/>
      <c r="W38" s="113"/>
      <c r="X38" s="36" t="s">
        <v>118</v>
      </c>
      <c r="Y38" s="108"/>
      <c r="Z38" s="108" t="str">
        <f aca="false">IF(ISBLANK(W38),"",W38*Y38)</f>
        <v/>
      </c>
      <c r="AA38" s="103"/>
      <c r="AB38" s="113"/>
      <c r="AC38" s="36" t="s">
        <v>118</v>
      </c>
      <c r="AD38" s="108"/>
      <c r="AE38" s="108" t="str">
        <f aca="false">IF(ISBLANK(AB38),"",AB38*AD38)</f>
        <v/>
      </c>
      <c r="AF38" s="103"/>
      <c r="AG38" s="113"/>
      <c r="AH38" s="36" t="s">
        <v>118</v>
      </c>
      <c r="AI38" s="108"/>
      <c r="AJ38" s="108" t="str">
        <f aca="false">IF(ISBLANK(AG38),"",AG38*AI38)</f>
        <v/>
      </c>
      <c r="AK38" s="103"/>
      <c r="AL38" s="113"/>
      <c r="AM38" s="36" t="s">
        <v>118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70"/>
      <c r="C39" s="113"/>
      <c r="D39" s="36"/>
      <c r="E39" s="108"/>
      <c r="F39" s="108"/>
      <c r="G39" s="103"/>
      <c r="H39" s="113"/>
      <c r="I39" s="36"/>
      <c r="J39" s="108"/>
      <c r="K39" s="108"/>
      <c r="L39" s="103"/>
      <c r="M39" s="113"/>
      <c r="N39" s="36"/>
      <c r="O39" s="108"/>
      <c r="P39" s="108"/>
      <c r="Q39" s="103"/>
      <c r="R39" s="113"/>
      <c r="S39" s="36"/>
      <c r="T39" s="108"/>
      <c r="U39" s="108"/>
      <c r="V39" s="103"/>
      <c r="W39" s="113"/>
      <c r="X39" s="36"/>
      <c r="Y39" s="108"/>
      <c r="Z39" s="108"/>
      <c r="AA39" s="103"/>
      <c r="AB39" s="113"/>
      <c r="AC39" s="36"/>
      <c r="AD39" s="108"/>
      <c r="AE39" s="108"/>
      <c r="AF39" s="103"/>
      <c r="AG39" s="113"/>
      <c r="AH39" s="36"/>
      <c r="AI39" s="108"/>
      <c r="AJ39" s="108"/>
      <c r="AK39" s="103"/>
      <c r="AL39" s="113"/>
      <c r="AM39" s="36"/>
      <c r="AN39" s="108"/>
      <c r="AO39" s="108"/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432</v>
      </c>
      <c r="C40" s="113" t="n">
        <v>10</v>
      </c>
      <c r="D40" s="36" t="s">
        <v>118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118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118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118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118</v>
      </c>
      <c r="Y40" s="108"/>
      <c r="Z40" s="108" t="str">
        <f aca="false">IF(ISBLANK(W40),"",W40*Y40)</f>
        <v/>
      </c>
      <c r="AA40" s="103"/>
      <c r="AB40" s="113"/>
      <c r="AC40" s="36" t="s">
        <v>118</v>
      </c>
      <c r="AD40" s="108"/>
      <c r="AE40" s="108" t="str">
        <f aca="false">IF(ISBLANK(AB40),"",AB40*AD40)</f>
        <v/>
      </c>
      <c r="AF40" s="103"/>
      <c r="AG40" s="113"/>
      <c r="AH40" s="36" t="s">
        <v>118</v>
      </c>
      <c r="AI40" s="108"/>
      <c r="AJ40" s="108" t="str">
        <f aca="false">IF(ISBLANK(AG40),"",AG40*AI40)</f>
        <v/>
      </c>
      <c r="AK40" s="103"/>
      <c r="AL40" s="113"/>
      <c r="AM40" s="36" t="s">
        <v>118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433</v>
      </c>
      <c r="C42" s="113" t="n">
        <v>10</v>
      </c>
      <c r="D42" s="36" t="s">
        <v>118</v>
      </c>
      <c r="E42" s="108" t="n">
        <v>250</v>
      </c>
      <c r="F42" s="108" t="n">
        <f aca="false">IF(ISBLANK(C42),"",C42*E42)</f>
        <v>2500</v>
      </c>
      <c r="G42" s="103"/>
      <c r="H42" s="113" t="n">
        <v>10</v>
      </c>
      <c r="I42" s="36" t="s">
        <v>118</v>
      </c>
      <c r="J42" s="108" t="n">
        <v>250</v>
      </c>
      <c r="K42" s="108" t="n">
        <f aca="false">IF(ISBLANK(H42),"",H42*J42)</f>
        <v>2500</v>
      </c>
      <c r="L42" s="103"/>
      <c r="M42" s="113" t="n">
        <v>10</v>
      </c>
      <c r="N42" s="36" t="s">
        <v>118</v>
      </c>
      <c r="O42" s="108" t="n">
        <v>250</v>
      </c>
      <c r="P42" s="108" t="n">
        <f aca="false">IF(ISBLANK(M42),"",M42*O42)</f>
        <v>2500</v>
      </c>
      <c r="Q42" s="103"/>
      <c r="R42" s="113" t="n">
        <v>10</v>
      </c>
      <c r="S42" s="36" t="s">
        <v>118</v>
      </c>
      <c r="T42" s="108" t="n">
        <v>250</v>
      </c>
      <c r="U42" s="108" t="n">
        <f aca="false">IF(ISBLANK(R42),"",R42*T42)</f>
        <v>2500</v>
      </c>
      <c r="V42" s="103"/>
      <c r="W42" s="113"/>
      <c r="X42" s="36" t="s">
        <v>118</v>
      </c>
      <c r="Y42" s="108"/>
      <c r="Z42" s="108" t="str">
        <f aca="false">IF(ISBLANK(W42),"",W42*Y42)</f>
        <v/>
      </c>
      <c r="AA42" s="103"/>
      <c r="AB42" s="113"/>
      <c r="AC42" s="36" t="s">
        <v>118</v>
      </c>
      <c r="AD42" s="108"/>
      <c r="AE42" s="108" t="str">
        <f aca="false">IF(ISBLANK(AB42),"",AB42*AD42)</f>
        <v/>
      </c>
      <c r="AF42" s="103"/>
      <c r="AG42" s="113"/>
      <c r="AH42" s="36" t="s">
        <v>118</v>
      </c>
      <c r="AI42" s="108"/>
      <c r="AJ42" s="108" t="str">
        <f aca="false">IF(ISBLANK(AG42),"",AG42*AI42)</f>
        <v/>
      </c>
      <c r="AK42" s="103"/>
      <c r="AL42" s="113"/>
      <c r="AM42" s="36" t="s">
        <v>118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434</v>
      </c>
      <c r="C44" s="113" t="n">
        <v>1</v>
      </c>
      <c r="D44" s="36" t="s">
        <v>209</v>
      </c>
      <c r="E44" s="108" t="n">
        <v>2000</v>
      </c>
      <c r="F44" s="108" t="n">
        <f aca="false">IF(ISBLANK(C44),"",C44*E44)</f>
        <v>2000</v>
      </c>
      <c r="G44" s="103"/>
      <c r="H44" s="113" t="n">
        <v>1</v>
      </c>
      <c r="I44" s="36" t="s">
        <v>209</v>
      </c>
      <c r="J44" s="108" t="n">
        <v>2000</v>
      </c>
      <c r="K44" s="108" t="n">
        <f aca="false">IF(ISBLANK(H44),"",H44*J44)</f>
        <v>2000</v>
      </c>
      <c r="L44" s="103"/>
      <c r="M44" s="113" t="n">
        <v>1</v>
      </c>
      <c r="N44" s="36" t="s">
        <v>209</v>
      </c>
      <c r="O44" s="108" t="n">
        <v>2000</v>
      </c>
      <c r="P44" s="108" t="n">
        <f aca="false">IF(ISBLANK(M44),"",M44*O44)</f>
        <v>2000</v>
      </c>
      <c r="Q44" s="103"/>
      <c r="R44" s="113" t="n">
        <v>1</v>
      </c>
      <c r="S44" s="36" t="s">
        <v>209</v>
      </c>
      <c r="T44" s="108" t="n">
        <v>2000</v>
      </c>
      <c r="U44" s="108" t="n">
        <f aca="false">IF(ISBLANK(R44),"",R44*T44)</f>
        <v>2000</v>
      </c>
      <c r="V44" s="103"/>
      <c r="W44" s="113"/>
      <c r="X44" s="36" t="s">
        <v>209</v>
      </c>
      <c r="Y44" s="108"/>
      <c r="Z44" s="108" t="str">
        <f aca="false">IF(ISBLANK(W44),"",W44*Y44)</f>
        <v/>
      </c>
      <c r="AA44" s="103"/>
      <c r="AB44" s="113"/>
      <c r="AC44" s="36" t="s">
        <v>209</v>
      </c>
      <c r="AD44" s="108"/>
      <c r="AE44" s="108" t="str">
        <f aca="false">IF(ISBLANK(AB44),"",AB44*AD44)</f>
        <v/>
      </c>
      <c r="AF44" s="103"/>
      <c r="AG44" s="113"/>
      <c r="AH44" s="36" t="s">
        <v>209</v>
      </c>
      <c r="AI44" s="108"/>
      <c r="AJ44" s="108" t="str">
        <f aca="false">IF(ISBLANK(AG44),"",AG44*AI44)</f>
        <v/>
      </c>
      <c r="AK44" s="103"/>
      <c r="AL44" s="113"/>
      <c r="AM44" s="36" t="s">
        <v>209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415</v>
      </c>
      <c r="C46" s="113" t="n">
        <v>1</v>
      </c>
      <c r="D46" s="36" t="s">
        <v>209</v>
      </c>
      <c r="E46" s="108" t="n">
        <v>750</v>
      </c>
      <c r="F46" s="108" t="n">
        <f aca="false">IF(ISBLANK(C46),"",C46*E46)</f>
        <v>750</v>
      </c>
      <c r="G46" s="103"/>
      <c r="H46" s="113" t="n">
        <v>1</v>
      </c>
      <c r="I46" s="36" t="s">
        <v>209</v>
      </c>
      <c r="J46" s="108" t="n">
        <v>750</v>
      </c>
      <c r="K46" s="108" t="n">
        <f aca="false">IF(ISBLANK(H46),"",H46*J46)</f>
        <v>750</v>
      </c>
      <c r="L46" s="103"/>
      <c r="M46" s="113" t="n">
        <v>1</v>
      </c>
      <c r="N46" s="36" t="s">
        <v>209</v>
      </c>
      <c r="O46" s="108" t="n">
        <v>750</v>
      </c>
      <c r="P46" s="108" t="n">
        <f aca="false">IF(ISBLANK(M46),"",M46*O46)</f>
        <v>750</v>
      </c>
      <c r="Q46" s="103"/>
      <c r="R46" s="113" t="n">
        <v>1</v>
      </c>
      <c r="S46" s="36" t="s">
        <v>209</v>
      </c>
      <c r="T46" s="108" t="n">
        <v>750</v>
      </c>
      <c r="U46" s="108" t="n">
        <f aca="false">IF(ISBLANK(R46),"",R46*T46)</f>
        <v>750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4.25" hidden="false" customHeight="true" outlineLevel="0" collapsed="false">
      <c r="A47" s="109"/>
      <c r="B47" s="1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IF(B48&gt;0,IF(C48&gt;0,MAX($A$5:A29)+1,"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IF(B53&gt;0,IF(C53&gt;0,MAX($A$3:A29)+1,"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93665</v>
      </c>
      <c r="G54" s="103"/>
      <c r="H54" s="98"/>
      <c r="I54" s="98"/>
      <c r="J54" s="117" t="s">
        <v>177</v>
      </c>
      <c r="K54" s="117" t="n">
        <f aca="false">SUM(K5:K53)</f>
        <v>93665</v>
      </c>
      <c r="L54" s="103"/>
      <c r="M54" s="98"/>
      <c r="N54" s="98"/>
      <c r="O54" s="117" t="s">
        <v>177</v>
      </c>
      <c r="P54" s="117" t="n">
        <f aca="false">SUM(P5:P53)</f>
        <v>93665</v>
      </c>
      <c r="Q54" s="103"/>
      <c r="R54" s="98"/>
      <c r="S54" s="98"/>
      <c r="T54" s="117" t="s">
        <v>177</v>
      </c>
      <c r="U54" s="117" t="n">
        <f aca="false">SUM(U5:U53)</f>
        <v>93665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3.1 Wall Finishes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3.1 Wall Finishes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435</v>
      </c>
      <c r="C8" s="113" t="n">
        <v>1</v>
      </c>
      <c r="D8" s="36" t="s">
        <v>209</v>
      </c>
      <c r="E8" s="108" t="n">
        <v>100</v>
      </c>
      <c r="F8" s="108" t="n">
        <f aca="false">IF(ISBLANK(C8),"",C8*E8)</f>
        <v>100</v>
      </c>
      <c r="G8" s="103"/>
      <c r="H8" s="113" t="n">
        <v>1</v>
      </c>
      <c r="I8" s="36" t="s">
        <v>209</v>
      </c>
      <c r="J8" s="108" t="n">
        <v>100</v>
      </c>
      <c r="K8" s="108" t="n">
        <f aca="false">IF(ISBLANK(H8),"",H8*J8)</f>
        <v>100</v>
      </c>
      <c r="L8" s="103"/>
      <c r="M8" s="113" t="n">
        <v>1</v>
      </c>
      <c r="N8" s="36" t="s">
        <v>209</v>
      </c>
      <c r="O8" s="108" t="n">
        <v>100</v>
      </c>
      <c r="P8" s="108" t="n">
        <f aca="false">IF(ISBLANK(M8),"",M8*O8)</f>
        <v>100</v>
      </c>
      <c r="Q8" s="103"/>
      <c r="R8" s="113" t="n">
        <v>1</v>
      </c>
      <c r="S8" s="36" t="s">
        <v>209</v>
      </c>
      <c r="T8" s="108" t="n">
        <v>100</v>
      </c>
      <c r="U8" s="108" t="n">
        <f aca="false">IF(ISBLANK(R8),"",R8*T8)</f>
        <v>100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436</v>
      </c>
      <c r="C10" s="113" t="n">
        <v>1</v>
      </c>
      <c r="D10" s="36" t="s">
        <v>209</v>
      </c>
      <c r="E10" s="108" t="n">
        <v>100</v>
      </c>
      <c r="F10" s="108" t="n">
        <f aca="false">IF(ISBLANK(C10),"",C10*E10)</f>
        <v>100</v>
      </c>
      <c r="G10" s="103"/>
      <c r="H10" s="113" t="n">
        <v>1</v>
      </c>
      <c r="I10" s="36" t="s">
        <v>209</v>
      </c>
      <c r="J10" s="108" t="n">
        <v>100</v>
      </c>
      <c r="K10" s="108" t="n">
        <f aca="false">IF(ISBLANK(H10),"",H10*J10)</f>
        <v>100</v>
      </c>
      <c r="L10" s="103"/>
      <c r="M10" s="113" t="n">
        <v>1</v>
      </c>
      <c r="N10" s="36" t="s">
        <v>209</v>
      </c>
      <c r="O10" s="108" t="n">
        <v>100</v>
      </c>
      <c r="P10" s="108" t="n">
        <f aca="false">IF(ISBLANK(M10),"",M10*O10)</f>
        <v>100</v>
      </c>
      <c r="Q10" s="103"/>
      <c r="R10" s="113" t="n">
        <v>1</v>
      </c>
      <c r="S10" s="36" t="s">
        <v>209</v>
      </c>
      <c r="T10" s="108" t="n">
        <v>100</v>
      </c>
      <c r="U10" s="108" t="n">
        <f aca="false">IF(ISBLANK(R10),"",R10*T10)</f>
        <v>100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437</v>
      </c>
      <c r="C12" s="113" t="n">
        <v>250</v>
      </c>
      <c r="D12" s="36" t="s">
        <v>116</v>
      </c>
      <c r="E12" s="108" t="n">
        <v>100</v>
      </c>
      <c r="F12" s="108" t="n">
        <f aca="false">IF(ISBLANK(C12),"",C12*E12)</f>
        <v>25000</v>
      </c>
      <c r="G12" s="103"/>
      <c r="H12" s="113" t="n">
        <v>250</v>
      </c>
      <c r="I12" s="36" t="s">
        <v>116</v>
      </c>
      <c r="J12" s="108" t="n">
        <v>100</v>
      </c>
      <c r="K12" s="108" t="n">
        <f aca="false">IF(ISBLANK(H12),"",H12*J12)</f>
        <v>25000</v>
      </c>
      <c r="L12" s="103"/>
      <c r="M12" s="113" t="n">
        <v>250</v>
      </c>
      <c r="N12" s="36" t="s">
        <v>116</v>
      </c>
      <c r="O12" s="108" t="n">
        <v>100</v>
      </c>
      <c r="P12" s="108" t="n">
        <f aca="false">IF(ISBLANK(M12),"",M12*O12)</f>
        <v>25000</v>
      </c>
      <c r="Q12" s="103"/>
      <c r="R12" s="113" t="n">
        <v>250</v>
      </c>
      <c r="S12" s="36" t="s">
        <v>116</v>
      </c>
      <c r="T12" s="108" t="n">
        <v>100</v>
      </c>
      <c r="U12" s="108" t="n">
        <f aca="false">IF(ISBLANK(R12),"",R12*T12)</f>
        <v>25000</v>
      </c>
      <c r="V12" s="103"/>
      <c r="W12" s="113"/>
      <c r="X12" s="36" t="s">
        <v>116</v>
      </c>
      <c r="Y12" s="108"/>
      <c r="Z12" s="108" t="str">
        <f aca="false">IF(ISBLANK(W12),"",W12*Y12)</f>
        <v/>
      </c>
      <c r="AA12" s="103"/>
      <c r="AB12" s="113"/>
      <c r="AC12" s="36" t="s">
        <v>116</v>
      </c>
      <c r="AD12" s="108"/>
      <c r="AE12" s="108" t="str">
        <f aca="false">IF(ISBLANK(AB12),"",AB12*AD12)</f>
        <v/>
      </c>
      <c r="AF12" s="103"/>
      <c r="AG12" s="113"/>
      <c r="AH12" s="36" t="s">
        <v>116</v>
      </c>
      <c r="AI12" s="108"/>
      <c r="AJ12" s="108" t="str">
        <f aca="false">IF(ISBLANK(AG12),"",AG12*AI12)</f>
        <v/>
      </c>
      <c r="AK12" s="103"/>
      <c r="AL12" s="113"/>
      <c r="AM12" s="36" t="s">
        <v>116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438</v>
      </c>
      <c r="C14" s="113" t="n">
        <v>45</v>
      </c>
      <c r="D14" s="36" t="s">
        <v>116</v>
      </c>
      <c r="E14" s="108" t="n">
        <v>100</v>
      </c>
      <c r="F14" s="108" t="n">
        <f aca="false">IF(ISBLANK(C14),"",C14*E14)</f>
        <v>4500</v>
      </c>
      <c r="G14" s="103"/>
      <c r="H14" s="113" t="n">
        <v>45</v>
      </c>
      <c r="I14" s="36" t="s">
        <v>116</v>
      </c>
      <c r="J14" s="108" t="n">
        <v>100</v>
      </c>
      <c r="K14" s="108" t="n">
        <f aca="false">IF(ISBLANK(H14),"",H14*J14)</f>
        <v>4500</v>
      </c>
      <c r="L14" s="103"/>
      <c r="M14" s="113" t="n">
        <v>45</v>
      </c>
      <c r="N14" s="36" t="s">
        <v>116</v>
      </c>
      <c r="O14" s="108" t="n">
        <v>100</v>
      </c>
      <c r="P14" s="108" t="n">
        <f aca="false">IF(ISBLANK(M14),"",M14*O14)</f>
        <v>4500</v>
      </c>
      <c r="Q14" s="103"/>
      <c r="R14" s="113" t="n">
        <v>45</v>
      </c>
      <c r="S14" s="36" t="s">
        <v>116</v>
      </c>
      <c r="T14" s="108" t="n">
        <v>100</v>
      </c>
      <c r="U14" s="108" t="n">
        <f aca="false">IF(ISBLANK(R14),"",R14*T14)</f>
        <v>4500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439</v>
      </c>
      <c r="C16" s="113" t="n">
        <v>65</v>
      </c>
      <c r="D16" s="36" t="s">
        <v>116</v>
      </c>
      <c r="E16" s="108" t="n">
        <v>100</v>
      </c>
      <c r="F16" s="108" t="n">
        <f aca="false">IF(ISBLANK(C16),"",C16*E16)</f>
        <v>6500</v>
      </c>
      <c r="G16" s="103"/>
      <c r="H16" s="113" t="n">
        <v>65</v>
      </c>
      <c r="I16" s="36" t="s">
        <v>116</v>
      </c>
      <c r="J16" s="108" t="n">
        <v>100</v>
      </c>
      <c r="K16" s="108" t="n">
        <f aca="false">IF(ISBLANK(H16),"",H16*J16)</f>
        <v>6500</v>
      </c>
      <c r="L16" s="103"/>
      <c r="M16" s="113" t="n">
        <v>65</v>
      </c>
      <c r="N16" s="36" t="s">
        <v>116</v>
      </c>
      <c r="O16" s="108" t="n">
        <v>100</v>
      </c>
      <c r="P16" s="108" t="n">
        <f aca="false">IF(ISBLANK(M16),"",M16*O16)</f>
        <v>6500</v>
      </c>
      <c r="Q16" s="103"/>
      <c r="R16" s="113" t="n">
        <v>65</v>
      </c>
      <c r="S16" s="36" t="s">
        <v>116</v>
      </c>
      <c r="T16" s="108" t="n">
        <v>100</v>
      </c>
      <c r="U16" s="108" t="n">
        <f aca="false">IF(ISBLANK(R16),"",R16*T16)</f>
        <v>6500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440</v>
      </c>
      <c r="C18" s="113" t="n">
        <v>455</v>
      </c>
      <c r="D18" s="36" t="s">
        <v>116</v>
      </c>
      <c r="E18" s="108" t="n">
        <v>100</v>
      </c>
      <c r="F18" s="108" t="n">
        <f aca="false">IF(ISBLANK(C18),"",C18*E18)</f>
        <v>45500</v>
      </c>
      <c r="G18" s="103"/>
      <c r="H18" s="113" t="n">
        <v>455</v>
      </c>
      <c r="I18" s="36" t="s">
        <v>116</v>
      </c>
      <c r="J18" s="108" t="n">
        <v>100</v>
      </c>
      <c r="K18" s="108" t="n">
        <f aca="false">IF(ISBLANK(H18),"",H18*J18)</f>
        <v>45500</v>
      </c>
      <c r="L18" s="103"/>
      <c r="M18" s="113" t="n">
        <v>455</v>
      </c>
      <c r="N18" s="36" t="s">
        <v>116</v>
      </c>
      <c r="O18" s="108" t="n">
        <v>100</v>
      </c>
      <c r="P18" s="108" t="n">
        <f aca="false">IF(ISBLANK(M18),"",M18*O18)</f>
        <v>45500</v>
      </c>
      <c r="Q18" s="103"/>
      <c r="R18" s="113" t="n">
        <v>455</v>
      </c>
      <c r="S18" s="36" t="s">
        <v>116</v>
      </c>
      <c r="T18" s="108" t="n">
        <v>100</v>
      </c>
      <c r="U18" s="108" t="n">
        <f aca="false">IF(ISBLANK(R18),"",R18*T18)</f>
        <v>45500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441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442</v>
      </c>
      <c r="C22" s="113" t="n">
        <v>25</v>
      </c>
      <c r="D22" s="36" t="s">
        <v>116</v>
      </c>
      <c r="E22" s="108" t="n">
        <v>100</v>
      </c>
      <c r="F22" s="108" t="n">
        <f aca="false">IF(ISBLANK(C22),"",C22*E22)</f>
        <v>2500</v>
      </c>
      <c r="G22" s="103"/>
      <c r="H22" s="113" t="n">
        <v>25</v>
      </c>
      <c r="I22" s="36" t="s">
        <v>116</v>
      </c>
      <c r="J22" s="108" t="n">
        <v>100</v>
      </c>
      <c r="K22" s="108" t="n">
        <f aca="false">IF(ISBLANK(H22),"",H22*J22)</f>
        <v>2500</v>
      </c>
      <c r="L22" s="103"/>
      <c r="M22" s="113" t="n">
        <v>25</v>
      </c>
      <c r="N22" s="36" t="s">
        <v>116</v>
      </c>
      <c r="O22" s="108" t="n">
        <v>100</v>
      </c>
      <c r="P22" s="108" t="n">
        <f aca="false">IF(ISBLANK(M22),"",M22*O22)</f>
        <v>2500</v>
      </c>
      <c r="Q22" s="103"/>
      <c r="R22" s="113" t="n">
        <v>25</v>
      </c>
      <c r="S22" s="36" t="s">
        <v>116</v>
      </c>
      <c r="T22" s="108" t="n">
        <v>100</v>
      </c>
      <c r="U22" s="108" t="n">
        <f aca="false">IF(ISBLANK(R22),"",R22*T22)</f>
        <v>2500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443</v>
      </c>
      <c r="C24" s="113" t="n">
        <v>50</v>
      </c>
      <c r="D24" s="36" t="s">
        <v>116</v>
      </c>
      <c r="E24" s="108" t="n">
        <v>100</v>
      </c>
      <c r="F24" s="108" t="n">
        <f aca="false">IF(ISBLANK(C24),"",C24*E24)</f>
        <v>5000</v>
      </c>
      <c r="G24" s="103"/>
      <c r="H24" s="113" t="n">
        <v>50</v>
      </c>
      <c r="I24" s="36" t="s">
        <v>116</v>
      </c>
      <c r="J24" s="108" t="n">
        <v>100</v>
      </c>
      <c r="K24" s="108" t="n">
        <f aca="false">IF(ISBLANK(H24),"",H24*J24)</f>
        <v>5000</v>
      </c>
      <c r="L24" s="103"/>
      <c r="M24" s="113" t="n">
        <v>50</v>
      </c>
      <c r="N24" s="36" t="s">
        <v>116</v>
      </c>
      <c r="O24" s="108" t="n">
        <v>100</v>
      </c>
      <c r="P24" s="108" t="n">
        <f aca="false">IF(ISBLANK(M24),"",M24*O24)</f>
        <v>5000</v>
      </c>
      <c r="Q24" s="103"/>
      <c r="R24" s="113" t="n">
        <v>50</v>
      </c>
      <c r="S24" s="36" t="s">
        <v>116</v>
      </c>
      <c r="T24" s="108" t="n">
        <v>100</v>
      </c>
      <c r="U24" s="108" t="n">
        <f aca="false">IF(ISBLANK(R24),"",R24*T24)</f>
        <v>5000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444</v>
      </c>
      <c r="C26" s="113" t="n">
        <v>5</v>
      </c>
      <c r="D26" s="36" t="s">
        <v>116</v>
      </c>
      <c r="E26" s="108" t="n">
        <v>100</v>
      </c>
      <c r="F26" s="108" t="n">
        <f aca="false">IF(ISBLANK(C26),"",C26*E26)</f>
        <v>500</v>
      </c>
      <c r="G26" s="103"/>
      <c r="H26" s="113" t="n">
        <v>5</v>
      </c>
      <c r="I26" s="36" t="s">
        <v>116</v>
      </c>
      <c r="J26" s="108" t="n">
        <v>100</v>
      </c>
      <c r="K26" s="108" t="n">
        <f aca="false">IF(ISBLANK(H26),"",H26*J26)</f>
        <v>500</v>
      </c>
      <c r="L26" s="103"/>
      <c r="M26" s="113" t="n">
        <v>5</v>
      </c>
      <c r="N26" s="36" t="s">
        <v>116</v>
      </c>
      <c r="O26" s="108" t="n">
        <v>100</v>
      </c>
      <c r="P26" s="108" t="n">
        <f aca="false">IF(ISBLANK(M26),"",M26*O26)</f>
        <v>500</v>
      </c>
      <c r="Q26" s="103"/>
      <c r="R26" s="113" t="n">
        <v>5</v>
      </c>
      <c r="S26" s="36" t="s">
        <v>116</v>
      </c>
      <c r="T26" s="108" t="n">
        <v>100</v>
      </c>
      <c r="U26" s="108" t="n">
        <f aca="false">IF(ISBLANK(R26),"",R26*T26)</f>
        <v>500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445</v>
      </c>
      <c r="C28" s="113" t="n">
        <v>55</v>
      </c>
      <c r="D28" s="36" t="s">
        <v>116</v>
      </c>
      <c r="E28" s="108" t="n">
        <v>100</v>
      </c>
      <c r="F28" s="108" t="n">
        <f aca="false">IF(ISBLANK(C28),"",C28*E28)</f>
        <v>5500</v>
      </c>
      <c r="G28" s="103"/>
      <c r="H28" s="113" t="n">
        <v>55</v>
      </c>
      <c r="I28" s="36" t="s">
        <v>116</v>
      </c>
      <c r="J28" s="108" t="n">
        <v>100</v>
      </c>
      <c r="K28" s="108" t="n">
        <f aca="false">IF(ISBLANK(H28),"",H28*J28)</f>
        <v>5500</v>
      </c>
      <c r="L28" s="103"/>
      <c r="M28" s="113" t="n">
        <v>55</v>
      </c>
      <c r="N28" s="36" t="s">
        <v>116</v>
      </c>
      <c r="O28" s="108" t="n">
        <v>100</v>
      </c>
      <c r="P28" s="108" t="n">
        <f aca="false">IF(ISBLANK(M28),"",M28*O28)</f>
        <v>5500</v>
      </c>
      <c r="Q28" s="103"/>
      <c r="R28" s="113" t="n">
        <v>55</v>
      </c>
      <c r="S28" s="36" t="s">
        <v>116</v>
      </c>
      <c r="T28" s="108" t="n">
        <v>100</v>
      </c>
      <c r="U28" s="108" t="n">
        <f aca="false">IF(ISBLANK(R28),"",R28*T28)</f>
        <v>5500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446</v>
      </c>
      <c r="C30" s="113" t="n">
        <v>35</v>
      </c>
      <c r="D30" s="36" t="s">
        <v>116</v>
      </c>
      <c r="E30" s="108" t="n">
        <v>100</v>
      </c>
      <c r="F30" s="108" t="n">
        <f aca="false">IF(ISBLANK(C30),"",C30*E30)</f>
        <v>3500</v>
      </c>
      <c r="G30" s="103"/>
      <c r="H30" s="113" t="n">
        <v>35</v>
      </c>
      <c r="I30" s="36" t="s">
        <v>116</v>
      </c>
      <c r="J30" s="108" t="n">
        <v>100</v>
      </c>
      <c r="K30" s="108" t="n">
        <f aca="false">IF(ISBLANK(H30),"",H30*J30)</f>
        <v>3500</v>
      </c>
      <c r="L30" s="103"/>
      <c r="M30" s="113" t="n">
        <v>35</v>
      </c>
      <c r="N30" s="36" t="s">
        <v>116</v>
      </c>
      <c r="O30" s="108" t="n">
        <v>100</v>
      </c>
      <c r="P30" s="108" t="n">
        <f aca="false">IF(ISBLANK(M30),"",M30*O30)</f>
        <v>3500</v>
      </c>
      <c r="Q30" s="103"/>
      <c r="R30" s="113" t="n">
        <v>35</v>
      </c>
      <c r="S30" s="36" t="s">
        <v>116</v>
      </c>
      <c r="T30" s="108" t="n">
        <v>100</v>
      </c>
      <c r="U30" s="108" t="n">
        <f aca="false">IF(ISBLANK(R30),"",R30*T30)</f>
        <v>3500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447</v>
      </c>
      <c r="C32" s="113" t="n">
        <v>150</v>
      </c>
      <c r="D32" s="36" t="s">
        <v>116</v>
      </c>
      <c r="E32" s="108" t="n">
        <v>100</v>
      </c>
      <c r="F32" s="108" t="n">
        <f aca="false">IF(ISBLANK(C32),"",C32*E32)</f>
        <v>15000</v>
      </c>
      <c r="G32" s="103"/>
      <c r="H32" s="113" t="n">
        <v>150</v>
      </c>
      <c r="I32" s="36" t="s">
        <v>116</v>
      </c>
      <c r="J32" s="108" t="n">
        <v>100</v>
      </c>
      <c r="K32" s="108" t="n">
        <f aca="false">IF(ISBLANK(H32),"",H32*J32)</f>
        <v>15000</v>
      </c>
      <c r="L32" s="103"/>
      <c r="M32" s="113" t="n">
        <v>150</v>
      </c>
      <c r="N32" s="36" t="s">
        <v>116</v>
      </c>
      <c r="O32" s="108" t="n">
        <v>100</v>
      </c>
      <c r="P32" s="108" t="n">
        <f aca="false">IF(ISBLANK(M32),"",M32*O32)</f>
        <v>15000</v>
      </c>
      <c r="Q32" s="103"/>
      <c r="R32" s="113" t="n">
        <v>150</v>
      </c>
      <c r="S32" s="36" t="s">
        <v>116</v>
      </c>
      <c r="T32" s="108" t="n">
        <v>100</v>
      </c>
      <c r="U32" s="108" t="n">
        <f aca="false">IF(ISBLANK(R32),"",R32*T32)</f>
        <v>15000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448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449</v>
      </c>
      <c r="C36" s="113" t="n">
        <v>200</v>
      </c>
      <c r="D36" s="36" t="s">
        <v>116</v>
      </c>
      <c r="E36" s="108" t="n">
        <v>100</v>
      </c>
      <c r="F36" s="108" t="n">
        <f aca="false">IF(ISBLANK(C36),"",C36*E36)</f>
        <v>20000</v>
      </c>
      <c r="G36" s="103"/>
      <c r="H36" s="113" t="n">
        <v>200</v>
      </c>
      <c r="I36" s="36" t="s">
        <v>116</v>
      </c>
      <c r="J36" s="108" t="n">
        <v>100</v>
      </c>
      <c r="K36" s="108" t="n">
        <f aca="false">IF(ISBLANK(H36),"",H36*J36)</f>
        <v>20000</v>
      </c>
      <c r="L36" s="103"/>
      <c r="M36" s="113" t="n">
        <v>200</v>
      </c>
      <c r="N36" s="36" t="s">
        <v>116</v>
      </c>
      <c r="O36" s="108" t="n">
        <v>100</v>
      </c>
      <c r="P36" s="108" t="n">
        <f aca="false">IF(ISBLANK(M36),"",M36*O36)</f>
        <v>20000</v>
      </c>
      <c r="Q36" s="103"/>
      <c r="R36" s="113" t="n">
        <v>200</v>
      </c>
      <c r="S36" s="36" t="s">
        <v>116</v>
      </c>
      <c r="T36" s="108" t="n">
        <v>100</v>
      </c>
      <c r="U36" s="108" t="n">
        <f aca="false">IF(ISBLANK(R36),"",R36*T36)</f>
        <v>20000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450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451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452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413</v>
      </c>
      <c r="C44" s="113" t="n">
        <v>250</v>
      </c>
      <c r="D44" s="36" t="s">
        <v>269</v>
      </c>
      <c r="E44" s="108" t="n">
        <v>100</v>
      </c>
      <c r="F44" s="108" t="n">
        <f aca="false">IF(ISBLANK(C44),"",C44*E44)</f>
        <v>25000</v>
      </c>
      <c r="G44" s="103"/>
      <c r="H44" s="113" t="n">
        <v>250</v>
      </c>
      <c r="I44" s="36" t="s">
        <v>269</v>
      </c>
      <c r="J44" s="108" t="n">
        <v>100</v>
      </c>
      <c r="K44" s="108" t="n">
        <f aca="false">IF(ISBLANK(H44),"",H44*J44)</f>
        <v>25000</v>
      </c>
      <c r="L44" s="103"/>
      <c r="M44" s="113" t="n">
        <v>250</v>
      </c>
      <c r="N44" s="36" t="s">
        <v>269</v>
      </c>
      <c r="O44" s="108" t="n">
        <v>100</v>
      </c>
      <c r="P44" s="108" t="n">
        <f aca="false">IF(ISBLANK(M44),"",M44*O44)</f>
        <v>25000</v>
      </c>
      <c r="Q44" s="103"/>
      <c r="R44" s="113" t="n">
        <v>250</v>
      </c>
      <c r="S44" s="36" t="s">
        <v>269</v>
      </c>
      <c r="T44" s="108" t="n">
        <v>100</v>
      </c>
      <c r="U44" s="108" t="n">
        <f aca="false">IF(ISBLANK(R44),"",R44*T44)</f>
        <v>25000</v>
      </c>
      <c r="V44" s="103"/>
      <c r="W44" s="113"/>
      <c r="X44" s="36" t="s">
        <v>269</v>
      </c>
      <c r="Y44" s="108"/>
      <c r="Z44" s="108" t="str">
        <f aca="false">IF(ISBLANK(W44),"",W44*Y44)</f>
        <v/>
      </c>
      <c r="AA44" s="103"/>
      <c r="AB44" s="113"/>
      <c r="AC44" s="36" t="s">
        <v>269</v>
      </c>
      <c r="AD44" s="108"/>
      <c r="AE44" s="108" t="str">
        <f aca="false">IF(ISBLANK(AB44),"",AB44*AD44)</f>
        <v/>
      </c>
      <c r="AF44" s="103"/>
      <c r="AG44" s="113"/>
      <c r="AH44" s="36" t="s">
        <v>269</v>
      </c>
      <c r="AI44" s="108"/>
      <c r="AJ44" s="108" t="str">
        <f aca="false">IF(ISBLANK(AG44),"",AG44*AI44)</f>
        <v/>
      </c>
      <c r="AK44" s="103"/>
      <c r="AL44" s="113"/>
      <c r="AM44" s="36" t="s">
        <v>269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415</v>
      </c>
      <c r="C46" s="113" t="n">
        <v>1</v>
      </c>
      <c r="D46" s="36" t="s">
        <v>209</v>
      </c>
      <c r="E46" s="108" t="n">
        <v>100</v>
      </c>
      <c r="F46" s="108" t="n">
        <f aca="false">IF(ISBLANK(C46),"",C46*E46)</f>
        <v>100</v>
      </c>
      <c r="G46" s="103"/>
      <c r="H46" s="113" t="n">
        <v>1</v>
      </c>
      <c r="I46" s="36" t="s">
        <v>209</v>
      </c>
      <c r="J46" s="108" t="n">
        <v>100</v>
      </c>
      <c r="K46" s="108" t="n">
        <f aca="false">IF(ISBLANK(H46),"",H46*J46)</f>
        <v>100</v>
      </c>
      <c r="L46" s="103"/>
      <c r="M46" s="113" t="n">
        <v>1</v>
      </c>
      <c r="N46" s="36" t="s">
        <v>209</v>
      </c>
      <c r="O46" s="108" t="n">
        <v>100</v>
      </c>
      <c r="P46" s="108" t="n">
        <f aca="false">IF(ISBLANK(M46),"",M46*O46)</f>
        <v>100</v>
      </c>
      <c r="Q46" s="103"/>
      <c r="R46" s="113" t="n">
        <v>1</v>
      </c>
      <c r="S46" s="36" t="s">
        <v>209</v>
      </c>
      <c r="T46" s="108" t="n">
        <v>100</v>
      </c>
      <c r="U46" s="108" t="n">
        <f aca="false">IF(ISBLANK(R46),"",R46*T46)</f>
        <v>100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163800</v>
      </c>
      <c r="G54" s="103"/>
      <c r="H54" s="98"/>
      <c r="I54" s="98"/>
      <c r="J54" s="117" t="s">
        <v>177</v>
      </c>
      <c r="K54" s="117" t="n">
        <f aca="false">SUM(K5:K53)</f>
        <v>163800</v>
      </c>
      <c r="L54" s="103"/>
      <c r="M54" s="98"/>
      <c r="N54" s="98"/>
      <c r="O54" s="117" t="s">
        <v>177</v>
      </c>
      <c r="P54" s="117" t="n">
        <f aca="false">SUM(P5:P53)</f>
        <v>163800</v>
      </c>
      <c r="Q54" s="103"/>
      <c r="R54" s="98"/>
      <c r="S54" s="98"/>
      <c r="T54" s="117" t="s">
        <v>177</v>
      </c>
      <c r="U54" s="117" t="n">
        <f aca="false">SUM(U5:U53)</f>
        <v>163800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595833333333333" bottom="0.748611111111111" header="0.511811023622047" footer="0.315277777777778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&amp;N&amp;R&amp;"Arial,Regular"&amp;8 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9"/>
      <c r="B4" s="102" t="str">
        <f aca="true" t="array" ref="B4:B4">MID(CELL("filename",A3),FIND("]",CELL("filename",A3))+1,255)</f>
        <v>3.2 Floor Finishes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09"/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3.2 Floor Finishes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IF(B8&gt;0,IF(C8&gt;0,MAX($A$3:A7)+1," ")," ")</f>
        <v>1</v>
      </c>
      <c r="B8" s="70" t="s">
        <v>453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750</v>
      </c>
      <c r="K8" s="108" t="n">
        <f aca="false">IF(ISBLANK(H8),"",H8*J8)</f>
        <v>750</v>
      </c>
      <c r="L8" s="103"/>
      <c r="M8" s="113" t="n">
        <v>1</v>
      </c>
      <c r="N8" s="36" t="s">
        <v>209</v>
      </c>
      <c r="O8" s="108" t="n">
        <v>250</v>
      </c>
      <c r="P8" s="108" t="n">
        <f aca="false">IF(ISBLANK(M8),"",M8*O8)</f>
        <v>250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IF(B9&gt;0,IF(C9&gt;0,MAX($A$3:A8)+1,"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IF(B10&gt;0,IF(C10&gt;0,MAX($A$3:A9)+1," ")," ")</f>
        <v>2</v>
      </c>
      <c r="B10" s="70" t="s">
        <v>454</v>
      </c>
      <c r="C10" s="113" t="n">
        <v>1</v>
      </c>
      <c r="D10" s="36" t="s">
        <v>209</v>
      </c>
      <c r="E10" s="108" t="n">
        <v>500</v>
      </c>
      <c r="F10" s="108" t="n">
        <f aca="false">IF(ISBLANK(C10),"",C10*E10)</f>
        <v>500</v>
      </c>
      <c r="G10" s="103"/>
      <c r="H10" s="113" t="n">
        <v>1</v>
      </c>
      <c r="I10" s="36" t="s">
        <v>209</v>
      </c>
      <c r="J10" s="108" t="n">
        <v>750</v>
      </c>
      <c r="K10" s="108" t="n">
        <f aca="false">IF(ISBLANK(H10),"",H10*J10)</f>
        <v>750</v>
      </c>
      <c r="L10" s="103"/>
      <c r="M10" s="113" t="n">
        <v>1</v>
      </c>
      <c r="N10" s="36" t="s">
        <v>209</v>
      </c>
      <c r="O10" s="108" t="n">
        <v>350</v>
      </c>
      <c r="P10" s="108" t="n">
        <f aca="false">IF(ISBLANK(M10),"",M10*O10)</f>
        <v>350</v>
      </c>
      <c r="Q10" s="103"/>
      <c r="R10" s="113" t="n">
        <v>1</v>
      </c>
      <c r="S10" s="36" t="s">
        <v>209</v>
      </c>
      <c r="T10" s="108" t="n">
        <v>350</v>
      </c>
      <c r="U10" s="108" t="n">
        <f aca="false">IF(ISBLANK(R10),"",R10*T10)</f>
        <v>350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IF(B11&gt;0,IF(C11&gt;0,MAX($A$3:A10)+1,"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IF(B12&gt;0,IF(C12&gt;0,MAX($A$3:A11)+1," ")," ")</f>
        <v>3</v>
      </c>
      <c r="B12" s="70" t="s">
        <v>455</v>
      </c>
      <c r="C12" s="113" t="n">
        <v>450</v>
      </c>
      <c r="D12" s="36" t="s">
        <v>116</v>
      </c>
      <c r="E12" s="108" t="n">
        <v>15</v>
      </c>
      <c r="F12" s="108" t="n">
        <f aca="false">IF(ISBLANK(C12),"",C12*E12)</f>
        <v>6750</v>
      </c>
      <c r="G12" s="103"/>
      <c r="H12" s="113" t="n">
        <v>450</v>
      </c>
      <c r="I12" s="36" t="s">
        <v>116</v>
      </c>
      <c r="J12" s="108" t="n">
        <v>15</v>
      </c>
      <c r="K12" s="108" t="n">
        <f aca="false">IF(ISBLANK(H12),"",H12*J12)</f>
        <v>6750</v>
      </c>
      <c r="L12" s="103"/>
      <c r="M12" s="113" t="n">
        <v>450</v>
      </c>
      <c r="N12" s="36" t="s">
        <v>116</v>
      </c>
      <c r="O12" s="108" t="n">
        <v>15</v>
      </c>
      <c r="P12" s="108" t="n">
        <f aca="false">IF(ISBLANK(M12),"",M12*O12)</f>
        <v>6750</v>
      </c>
      <c r="Q12" s="103"/>
      <c r="R12" s="113" t="n">
        <v>450</v>
      </c>
      <c r="S12" s="36" t="s">
        <v>116</v>
      </c>
      <c r="T12" s="108" t="n">
        <v>15</v>
      </c>
      <c r="U12" s="108" t="n">
        <f aca="false">IF(ISBLANK(R12),"",R12*T12)</f>
        <v>6750</v>
      </c>
      <c r="V12" s="103"/>
      <c r="W12" s="113"/>
      <c r="X12" s="36" t="s">
        <v>116</v>
      </c>
      <c r="Y12" s="108"/>
      <c r="Z12" s="108" t="str">
        <f aca="false">IF(ISBLANK(W12),"",W12*Y12)</f>
        <v/>
      </c>
      <c r="AA12" s="103"/>
      <c r="AB12" s="113"/>
      <c r="AC12" s="36" t="s">
        <v>116</v>
      </c>
      <c r="AD12" s="108"/>
      <c r="AE12" s="108" t="str">
        <f aca="false">IF(ISBLANK(AB12),"",AB12*AD12)</f>
        <v/>
      </c>
      <c r="AF12" s="103"/>
      <c r="AG12" s="113"/>
      <c r="AH12" s="36" t="s">
        <v>116</v>
      </c>
      <c r="AI12" s="108"/>
      <c r="AJ12" s="108" t="str">
        <f aca="false">IF(ISBLANK(AG12),"",AG12*AI12)</f>
        <v/>
      </c>
      <c r="AK12" s="103"/>
      <c r="AL12" s="113"/>
      <c r="AM12" s="36" t="s">
        <v>116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IF(B13&gt;0,IF(C13&gt;0,MAX($A$3:A12)+1,"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IF(B14&gt;0,IF(C14&gt;0,MAX($A$3:A13)+1," ")," ")</f>
        <v>4</v>
      </c>
      <c r="B14" s="70" t="s">
        <v>456</v>
      </c>
      <c r="C14" s="113" t="n">
        <v>45</v>
      </c>
      <c r="D14" s="36" t="s">
        <v>116</v>
      </c>
      <c r="E14" s="108" t="n">
        <v>35</v>
      </c>
      <c r="F14" s="108" t="n">
        <f aca="false">IF(ISBLANK(C14),"",C14*E14)</f>
        <v>1575</v>
      </c>
      <c r="G14" s="103"/>
      <c r="H14" s="113" t="n">
        <v>45</v>
      </c>
      <c r="I14" s="36" t="s">
        <v>116</v>
      </c>
      <c r="J14" s="108" t="n">
        <v>35</v>
      </c>
      <c r="K14" s="108" t="n">
        <f aca="false">IF(ISBLANK(H14),"",H14*J14)</f>
        <v>1575</v>
      </c>
      <c r="L14" s="103"/>
      <c r="M14" s="113" t="n">
        <v>45</v>
      </c>
      <c r="N14" s="36" t="s">
        <v>116</v>
      </c>
      <c r="O14" s="108" t="n">
        <v>35</v>
      </c>
      <c r="P14" s="108" t="n">
        <f aca="false">IF(ISBLANK(M14),"",M14*O14)</f>
        <v>1575</v>
      </c>
      <c r="Q14" s="103"/>
      <c r="R14" s="113" t="n">
        <v>45</v>
      </c>
      <c r="S14" s="36" t="s">
        <v>116</v>
      </c>
      <c r="T14" s="108" t="n">
        <v>35</v>
      </c>
      <c r="U14" s="108" t="n">
        <f aca="false">IF(ISBLANK(R14),"",R14*T14)</f>
        <v>1575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IF(B16&gt;0,IF(C16&gt;0,MAX($A$3:A15)+1," ")," ")</f>
        <v>5</v>
      </c>
      <c r="B16" s="70" t="s">
        <v>457</v>
      </c>
      <c r="C16" s="113" t="n">
        <v>65</v>
      </c>
      <c r="D16" s="36" t="s">
        <v>116</v>
      </c>
      <c r="E16" s="108" t="n">
        <v>65</v>
      </c>
      <c r="F16" s="108" t="n">
        <f aca="false">IF(ISBLANK(C16),"",C16*E16)</f>
        <v>4225</v>
      </c>
      <c r="G16" s="103"/>
      <c r="H16" s="113" t="n">
        <v>65</v>
      </c>
      <c r="I16" s="36" t="s">
        <v>116</v>
      </c>
      <c r="J16" s="108" t="n">
        <v>65</v>
      </c>
      <c r="K16" s="108" t="n">
        <f aca="false">IF(ISBLANK(H16),"",H16*J16)</f>
        <v>4225</v>
      </c>
      <c r="L16" s="103"/>
      <c r="M16" s="113" t="n">
        <v>65</v>
      </c>
      <c r="N16" s="36" t="s">
        <v>116</v>
      </c>
      <c r="O16" s="108" t="n">
        <v>65</v>
      </c>
      <c r="P16" s="108" t="n">
        <f aca="false">IF(ISBLANK(M16),"",M16*O16)</f>
        <v>4225</v>
      </c>
      <c r="Q16" s="103"/>
      <c r="R16" s="113" t="n">
        <v>65</v>
      </c>
      <c r="S16" s="36" t="s">
        <v>116</v>
      </c>
      <c r="T16" s="108" t="n">
        <v>65</v>
      </c>
      <c r="U16" s="108" t="n">
        <f aca="false">IF(ISBLANK(R16),"",R16*T16)</f>
        <v>4225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IF(B17&gt;0,IF(C17&gt;0,MAX($A$3:A16)+1,"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IF(B18&gt;0,IF(C18&gt;0,MAX($A$3:A17)+1," ")," ")</f>
        <v>6</v>
      </c>
      <c r="B18" s="70" t="s">
        <v>458</v>
      </c>
      <c r="C18" s="113" t="n">
        <v>455</v>
      </c>
      <c r="D18" s="36" t="s">
        <v>116</v>
      </c>
      <c r="E18" s="108" t="n">
        <v>55</v>
      </c>
      <c r="F18" s="108" t="n">
        <f aca="false">IF(ISBLANK(C18),"",C18*E18)</f>
        <v>25025</v>
      </c>
      <c r="G18" s="103"/>
      <c r="H18" s="113" t="n">
        <v>455</v>
      </c>
      <c r="I18" s="36" t="s">
        <v>116</v>
      </c>
      <c r="J18" s="108" t="n">
        <v>55</v>
      </c>
      <c r="K18" s="108" t="n">
        <f aca="false">IF(ISBLANK(H18),"",H18*J18)</f>
        <v>25025</v>
      </c>
      <c r="L18" s="103"/>
      <c r="M18" s="113" t="n">
        <v>455</v>
      </c>
      <c r="N18" s="36" t="s">
        <v>116</v>
      </c>
      <c r="O18" s="108" t="n">
        <v>55</v>
      </c>
      <c r="P18" s="108" t="n">
        <f aca="false">IF(ISBLANK(M18),"",M18*O18)</f>
        <v>25025</v>
      </c>
      <c r="Q18" s="103"/>
      <c r="R18" s="113" t="n">
        <v>455</v>
      </c>
      <c r="S18" s="36" t="s">
        <v>116</v>
      </c>
      <c r="T18" s="108" t="n">
        <v>55</v>
      </c>
      <c r="U18" s="108" t="n">
        <f aca="false">IF(ISBLANK(R18),"",R18*T18)</f>
        <v>25025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IF(B19&gt;0,IF(C19&gt;0,MAX($A$3:A18)+1,"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IF(B20&gt;0,IF(C20&gt;0,MAX($A$3:A19)+1," ")," ")</f>
        <v>7</v>
      </c>
      <c r="B20" s="70" t="s">
        <v>459</v>
      </c>
      <c r="C20" s="113" t="n">
        <v>10</v>
      </c>
      <c r="D20" s="36" t="s">
        <v>116</v>
      </c>
      <c r="E20" s="108" t="n">
        <v>75</v>
      </c>
      <c r="F20" s="108" t="n">
        <f aca="false">IF(ISBLANK(C20),"",C20*E20)</f>
        <v>750</v>
      </c>
      <c r="G20" s="103"/>
      <c r="H20" s="113" t="n">
        <v>10</v>
      </c>
      <c r="I20" s="36" t="s">
        <v>116</v>
      </c>
      <c r="J20" s="108" t="n">
        <v>75</v>
      </c>
      <c r="K20" s="108" t="n">
        <f aca="false">IF(ISBLANK(H20),"",H20*J20)</f>
        <v>750</v>
      </c>
      <c r="L20" s="103"/>
      <c r="M20" s="113" t="n">
        <v>10</v>
      </c>
      <c r="N20" s="36" t="s">
        <v>116</v>
      </c>
      <c r="O20" s="108" t="n">
        <v>75</v>
      </c>
      <c r="P20" s="108" t="n">
        <f aca="false">IF(ISBLANK(M20),"",M20*O20)</f>
        <v>750</v>
      </c>
      <c r="Q20" s="103"/>
      <c r="R20" s="113" t="n">
        <v>10</v>
      </c>
      <c r="S20" s="36" t="s">
        <v>116</v>
      </c>
      <c r="T20" s="108" t="n">
        <v>75</v>
      </c>
      <c r="U20" s="108" t="n">
        <f aca="false">IF(ISBLANK(R20),"",R20*T20)</f>
        <v>750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IF(B21&gt;0,IF(C21&gt;0,MAX($A$3:A20)+1,"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IF(B22&gt;0,IF(C22&gt;0,MAX($A$3:A21)+1," ")," ")</f>
        <v>8</v>
      </c>
      <c r="B22" s="70" t="s">
        <v>460</v>
      </c>
      <c r="C22" s="113" t="n">
        <v>25</v>
      </c>
      <c r="D22" s="36" t="s">
        <v>116</v>
      </c>
      <c r="E22" s="108" t="n">
        <v>90</v>
      </c>
      <c r="F22" s="108" t="n">
        <f aca="false">IF(ISBLANK(C22),"",C22*E22)</f>
        <v>2250</v>
      </c>
      <c r="G22" s="103"/>
      <c r="H22" s="113" t="n">
        <v>25</v>
      </c>
      <c r="I22" s="36" t="s">
        <v>116</v>
      </c>
      <c r="J22" s="108" t="n">
        <v>90</v>
      </c>
      <c r="K22" s="108" t="n">
        <f aca="false">IF(ISBLANK(H22),"",H22*J22)</f>
        <v>2250</v>
      </c>
      <c r="L22" s="103"/>
      <c r="M22" s="113" t="n">
        <v>25</v>
      </c>
      <c r="N22" s="36" t="s">
        <v>116</v>
      </c>
      <c r="O22" s="108" t="n">
        <v>90</v>
      </c>
      <c r="P22" s="108" t="n">
        <f aca="false">IF(ISBLANK(M22),"",M22*O22)</f>
        <v>2250</v>
      </c>
      <c r="Q22" s="103"/>
      <c r="R22" s="113" t="n">
        <v>25</v>
      </c>
      <c r="S22" s="36" t="s">
        <v>116</v>
      </c>
      <c r="T22" s="108" t="n">
        <v>90</v>
      </c>
      <c r="U22" s="108" t="n">
        <f aca="false">IF(ISBLANK(R22),"",R22*T22)</f>
        <v>2250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IF(B24&gt;0,IF(C24&gt;0,MAX($A$3:A23)+1," ")," ")</f>
        <v>9</v>
      </c>
      <c r="B24" s="70" t="s">
        <v>461</v>
      </c>
      <c r="C24" s="113" t="n">
        <v>50</v>
      </c>
      <c r="D24" s="36" t="s">
        <v>116</v>
      </c>
      <c r="E24" s="108" t="n">
        <v>80</v>
      </c>
      <c r="F24" s="108" t="n">
        <f aca="false">IF(ISBLANK(C24),"",C24*E24)</f>
        <v>4000</v>
      </c>
      <c r="G24" s="103"/>
      <c r="H24" s="113" t="n">
        <v>50</v>
      </c>
      <c r="I24" s="36" t="s">
        <v>116</v>
      </c>
      <c r="J24" s="108" t="n">
        <v>80</v>
      </c>
      <c r="K24" s="108" t="n">
        <f aca="false">IF(ISBLANK(H24),"",H24*J24)</f>
        <v>4000</v>
      </c>
      <c r="L24" s="103"/>
      <c r="M24" s="113" t="n">
        <v>50</v>
      </c>
      <c r="N24" s="36" t="s">
        <v>116</v>
      </c>
      <c r="O24" s="108" t="n">
        <v>80</v>
      </c>
      <c r="P24" s="108" t="n">
        <f aca="false">IF(ISBLANK(M24),"",M24*O24)</f>
        <v>4000</v>
      </c>
      <c r="Q24" s="103"/>
      <c r="R24" s="113" t="n">
        <v>50</v>
      </c>
      <c r="S24" s="36" t="s">
        <v>116</v>
      </c>
      <c r="T24" s="108" t="n">
        <v>80</v>
      </c>
      <c r="U24" s="108" t="n">
        <f aca="false">IF(ISBLANK(R24),"",R24*T24)</f>
        <v>4000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IF(B25&gt;0,IF(C25&gt;0,MAX($A$3:A24)+1,"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IF(B26&gt;0,IF(C26&gt;0,MAX($A$3:A25)+1," ")," ")</f>
        <v>10</v>
      </c>
      <c r="B26" s="70" t="s">
        <v>462</v>
      </c>
      <c r="C26" s="113" t="n">
        <v>5</v>
      </c>
      <c r="D26" s="36" t="s">
        <v>116</v>
      </c>
      <c r="E26" s="108" t="n">
        <v>100</v>
      </c>
      <c r="F26" s="108" t="n">
        <f aca="false">IF(ISBLANK(C26),"",C26*E26)</f>
        <v>500</v>
      </c>
      <c r="G26" s="103"/>
      <c r="H26" s="113" t="n">
        <v>5</v>
      </c>
      <c r="I26" s="36" t="s">
        <v>116</v>
      </c>
      <c r="J26" s="108" t="n">
        <v>100</v>
      </c>
      <c r="K26" s="108" t="n">
        <f aca="false">IF(ISBLANK(H26),"",H26*J26)</f>
        <v>500</v>
      </c>
      <c r="L26" s="103"/>
      <c r="M26" s="113" t="n">
        <v>5</v>
      </c>
      <c r="N26" s="36" t="s">
        <v>116</v>
      </c>
      <c r="O26" s="108" t="n">
        <v>100</v>
      </c>
      <c r="P26" s="108" t="n">
        <f aca="false">IF(ISBLANK(M26),"",M26*O26)</f>
        <v>500</v>
      </c>
      <c r="Q26" s="103"/>
      <c r="R26" s="113" t="n">
        <v>5</v>
      </c>
      <c r="S26" s="36" t="s">
        <v>116</v>
      </c>
      <c r="T26" s="108" t="n">
        <v>100</v>
      </c>
      <c r="U26" s="108" t="n">
        <f aca="false">IF(ISBLANK(R26),"",R26*T26)</f>
        <v>500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IF(B27&gt;0,IF(C27&gt;0,MAX($A$3:A26)+1,"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IF(B28&gt;0,IF(C28&gt;0,MAX($A$3:A27)+1," ")," ")</f>
        <v>11</v>
      </c>
      <c r="B28" s="70" t="s">
        <v>463</v>
      </c>
      <c r="C28" s="113" t="n">
        <v>55</v>
      </c>
      <c r="D28" s="36" t="s">
        <v>116</v>
      </c>
      <c r="E28" s="108" t="n">
        <v>95</v>
      </c>
      <c r="F28" s="108" t="n">
        <f aca="false">IF(ISBLANK(C28),"",C28*E28)</f>
        <v>5225</v>
      </c>
      <c r="G28" s="103"/>
      <c r="H28" s="113" t="n">
        <v>55</v>
      </c>
      <c r="I28" s="36" t="s">
        <v>116</v>
      </c>
      <c r="J28" s="108" t="n">
        <v>95</v>
      </c>
      <c r="K28" s="108" t="n">
        <f aca="false">IF(ISBLANK(H28),"",H28*J28)</f>
        <v>5225</v>
      </c>
      <c r="L28" s="103"/>
      <c r="M28" s="113" t="n">
        <v>55</v>
      </c>
      <c r="N28" s="36" t="s">
        <v>116</v>
      </c>
      <c r="O28" s="108" t="n">
        <v>95</v>
      </c>
      <c r="P28" s="108" t="n">
        <f aca="false">IF(ISBLANK(M28),"",M28*O28)</f>
        <v>5225</v>
      </c>
      <c r="Q28" s="103"/>
      <c r="R28" s="113" t="n">
        <v>55</v>
      </c>
      <c r="S28" s="36" t="s">
        <v>116</v>
      </c>
      <c r="T28" s="108" t="n">
        <v>95</v>
      </c>
      <c r="U28" s="108" t="n">
        <f aca="false">IF(ISBLANK(R28),"",R28*T28)</f>
        <v>5225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IF(B29&gt;0,IF(C29&gt;0,MAX($A$3:A28)+1,"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IF(B30&gt;0,IF(C30&gt;0,MAX($A$3:A29)+1," ")," ")</f>
        <v>12</v>
      </c>
      <c r="B30" s="70" t="s">
        <v>464</v>
      </c>
      <c r="C30" s="113" t="n">
        <v>35</v>
      </c>
      <c r="D30" s="36" t="s">
        <v>116</v>
      </c>
      <c r="E30" s="108" t="n">
        <v>55</v>
      </c>
      <c r="F30" s="108" t="n">
        <f aca="false">IF(ISBLANK(C30),"",C30*E30)</f>
        <v>1925</v>
      </c>
      <c r="G30" s="103"/>
      <c r="H30" s="113" t="n">
        <v>35</v>
      </c>
      <c r="I30" s="36" t="s">
        <v>116</v>
      </c>
      <c r="J30" s="108" t="n">
        <v>55</v>
      </c>
      <c r="K30" s="108" t="n">
        <f aca="false">IF(ISBLANK(H30),"",H30*J30)</f>
        <v>1925</v>
      </c>
      <c r="L30" s="103"/>
      <c r="M30" s="113" t="n">
        <v>35</v>
      </c>
      <c r="N30" s="36" t="s">
        <v>116</v>
      </c>
      <c r="O30" s="108" t="n">
        <v>55</v>
      </c>
      <c r="P30" s="108" t="n">
        <f aca="false">IF(ISBLANK(M30),"",M30*O30)</f>
        <v>1925</v>
      </c>
      <c r="Q30" s="103"/>
      <c r="R30" s="113" t="n">
        <v>35</v>
      </c>
      <c r="S30" s="36" t="s">
        <v>116</v>
      </c>
      <c r="T30" s="108" t="n">
        <v>55</v>
      </c>
      <c r="U30" s="108" t="n">
        <f aca="false">IF(ISBLANK(R30),"",R30*T30)</f>
        <v>1925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IF(B32&gt;0,IF(C32&gt;0,MAX($A$3:A31)+1," ")," ")</f>
        <v>13</v>
      </c>
      <c r="B32" s="70" t="s">
        <v>465</v>
      </c>
      <c r="C32" s="113" t="n">
        <v>150</v>
      </c>
      <c r="D32" s="36" t="s">
        <v>116</v>
      </c>
      <c r="E32" s="108" t="n">
        <v>40</v>
      </c>
      <c r="F32" s="108" t="n">
        <f aca="false">IF(ISBLANK(C32),"",C32*E32)</f>
        <v>6000</v>
      </c>
      <c r="G32" s="103"/>
      <c r="H32" s="113" t="n">
        <v>150</v>
      </c>
      <c r="I32" s="36" t="s">
        <v>116</v>
      </c>
      <c r="J32" s="108" t="n">
        <v>40</v>
      </c>
      <c r="K32" s="108" t="n">
        <f aca="false">IF(ISBLANK(H32),"",H32*J32)</f>
        <v>6000</v>
      </c>
      <c r="L32" s="103"/>
      <c r="M32" s="113" t="n">
        <v>150</v>
      </c>
      <c r="N32" s="36" t="s">
        <v>116</v>
      </c>
      <c r="O32" s="108" t="n">
        <v>40</v>
      </c>
      <c r="P32" s="108" t="n">
        <f aca="false">IF(ISBLANK(M32),"",M32*O32)</f>
        <v>6000</v>
      </c>
      <c r="Q32" s="103"/>
      <c r="R32" s="113" t="n">
        <v>150</v>
      </c>
      <c r="S32" s="36" t="s">
        <v>116</v>
      </c>
      <c r="T32" s="108" t="n">
        <v>40</v>
      </c>
      <c r="U32" s="108" t="n">
        <f aca="false">IF(ISBLANK(R32),"",R32*T32)</f>
        <v>6000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IF(B33&gt;0,IF(C33&gt;0,MAX($A$3:A32)+1,"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IF(B34&gt;0,IF(C34&gt;0,MAX($A$3:A33)+1," ")," ")</f>
        <v>14</v>
      </c>
      <c r="B34" s="70" t="s">
        <v>466</v>
      </c>
      <c r="C34" s="113" t="n">
        <v>10</v>
      </c>
      <c r="D34" s="36" t="s">
        <v>116</v>
      </c>
      <c r="E34" s="108" t="n">
        <v>55</v>
      </c>
      <c r="F34" s="108" t="n">
        <f aca="false">IF(ISBLANK(C34),"",C34*E34)</f>
        <v>550</v>
      </c>
      <c r="G34" s="103"/>
      <c r="H34" s="113" t="n">
        <v>10</v>
      </c>
      <c r="I34" s="36" t="s">
        <v>116</v>
      </c>
      <c r="J34" s="108" t="n">
        <v>55</v>
      </c>
      <c r="K34" s="108" t="n">
        <f aca="false">IF(ISBLANK(H34),"",H34*J34)</f>
        <v>550</v>
      </c>
      <c r="L34" s="103"/>
      <c r="M34" s="113" t="n">
        <v>10</v>
      </c>
      <c r="N34" s="36" t="s">
        <v>116</v>
      </c>
      <c r="O34" s="108" t="n">
        <v>55</v>
      </c>
      <c r="P34" s="108" t="n">
        <f aca="false">IF(ISBLANK(M34),"",M34*O34)</f>
        <v>550</v>
      </c>
      <c r="Q34" s="103"/>
      <c r="R34" s="113" t="n">
        <v>10</v>
      </c>
      <c r="S34" s="36" t="s">
        <v>116</v>
      </c>
      <c r="T34" s="108" t="n">
        <v>55</v>
      </c>
      <c r="U34" s="108" t="n">
        <f aca="false">IF(ISBLANK(R34),"",R34*T34)</f>
        <v>550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IF(B35&gt;0,IF(C35&gt;0,MAX($A$3:A34)+1,"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IF(B36&gt;0,IF(C36&gt;0,MAX($A$3:A35)+1," ")," ")</f>
        <v>15</v>
      </c>
      <c r="B36" s="70" t="s">
        <v>467</v>
      </c>
      <c r="C36" s="113" t="n">
        <v>200</v>
      </c>
      <c r="D36" s="36" t="s">
        <v>116</v>
      </c>
      <c r="E36" s="108" t="n">
        <v>76</v>
      </c>
      <c r="F36" s="108" t="n">
        <f aca="false">IF(ISBLANK(C36),"",C36*E36)</f>
        <v>15200</v>
      </c>
      <c r="G36" s="103"/>
      <c r="H36" s="113" t="n">
        <v>200</v>
      </c>
      <c r="I36" s="36" t="s">
        <v>116</v>
      </c>
      <c r="J36" s="108" t="n">
        <v>76</v>
      </c>
      <c r="K36" s="108" t="n">
        <f aca="false">IF(ISBLANK(H36),"",H36*J36)</f>
        <v>15200</v>
      </c>
      <c r="L36" s="103"/>
      <c r="M36" s="113" t="n">
        <v>200</v>
      </c>
      <c r="N36" s="36" t="s">
        <v>116</v>
      </c>
      <c r="O36" s="108" t="n">
        <v>76</v>
      </c>
      <c r="P36" s="108" t="n">
        <f aca="false">IF(ISBLANK(M36),"",M36*O36)</f>
        <v>15200</v>
      </c>
      <c r="Q36" s="103"/>
      <c r="R36" s="113" t="n">
        <v>200</v>
      </c>
      <c r="S36" s="36" t="s">
        <v>116</v>
      </c>
      <c r="T36" s="108" t="n">
        <v>76</v>
      </c>
      <c r="U36" s="108" t="n">
        <f aca="false">IF(ISBLANK(R36),"",R36*T36)</f>
        <v>15200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IF(B37&gt;0,IF(C37&gt;0,MAX($A$3:A36)+1,"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IF(B38&gt;0,IF(C38&gt;0,MAX($A$3:A37)+1," ")," ")</f>
        <v>16</v>
      </c>
      <c r="B38" s="70" t="s">
        <v>468</v>
      </c>
      <c r="C38" s="113" t="n">
        <v>10</v>
      </c>
      <c r="D38" s="36" t="s">
        <v>116</v>
      </c>
      <c r="E38" s="108" t="n">
        <v>80</v>
      </c>
      <c r="F38" s="108" t="n">
        <f aca="false">IF(ISBLANK(C38),"",C38*E38)</f>
        <v>800</v>
      </c>
      <c r="G38" s="103"/>
      <c r="H38" s="113" t="n">
        <v>10</v>
      </c>
      <c r="I38" s="36" t="s">
        <v>116</v>
      </c>
      <c r="J38" s="108" t="n">
        <v>80</v>
      </c>
      <c r="K38" s="108" t="n">
        <f aca="false">IF(ISBLANK(H38),"",H38*J38)</f>
        <v>800</v>
      </c>
      <c r="L38" s="103"/>
      <c r="M38" s="113" t="n">
        <v>10</v>
      </c>
      <c r="N38" s="36" t="s">
        <v>116</v>
      </c>
      <c r="O38" s="108" t="n">
        <v>80</v>
      </c>
      <c r="P38" s="108" t="n">
        <f aca="false">IF(ISBLANK(M38),"",M38*O38)</f>
        <v>800</v>
      </c>
      <c r="Q38" s="103"/>
      <c r="R38" s="113" t="n">
        <v>10</v>
      </c>
      <c r="S38" s="36" t="s">
        <v>116</v>
      </c>
      <c r="T38" s="108" t="n">
        <v>80</v>
      </c>
      <c r="U38" s="108" t="n">
        <f aca="false">IF(ISBLANK(R38),"",R38*T38)</f>
        <v>800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IF(B40&gt;0,IF(C40&gt;0,MAX($A$3:A39)+1," ")," ")</f>
        <v>17</v>
      </c>
      <c r="B40" s="70" t="s">
        <v>469</v>
      </c>
      <c r="C40" s="113" t="n">
        <v>10</v>
      </c>
      <c r="D40" s="36" t="s">
        <v>116</v>
      </c>
      <c r="E40" s="108" t="n">
        <v>28</v>
      </c>
      <c r="F40" s="108" t="n">
        <f aca="false">IF(ISBLANK(C40),"",C40*E40)</f>
        <v>280</v>
      </c>
      <c r="G40" s="103"/>
      <c r="H40" s="113" t="n">
        <v>10</v>
      </c>
      <c r="I40" s="36" t="s">
        <v>116</v>
      </c>
      <c r="J40" s="108" t="n">
        <v>28</v>
      </c>
      <c r="K40" s="108" t="n">
        <f aca="false">IF(ISBLANK(H40),"",H40*J40)</f>
        <v>280</v>
      </c>
      <c r="L40" s="103"/>
      <c r="M40" s="113" t="n">
        <v>10</v>
      </c>
      <c r="N40" s="36" t="s">
        <v>116</v>
      </c>
      <c r="O40" s="108" t="n">
        <v>28</v>
      </c>
      <c r="P40" s="108" t="n">
        <f aca="false">IF(ISBLANK(M40),"",M40*O40)</f>
        <v>280</v>
      </c>
      <c r="Q40" s="103"/>
      <c r="R40" s="113" t="n">
        <v>10</v>
      </c>
      <c r="S40" s="36" t="s">
        <v>116</v>
      </c>
      <c r="T40" s="108" t="n">
        <v>28</v>
      </c>
      <c r="U40" s="108" t="n">
        <f aca="false">IF(ISBLANK(R40),"",R40*T40)</f>
        <v>280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IF(B41&gt;0,IF(C41&gt;0,MAX($A$3:A40)+1,"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IF(B42&gt;0,IF(C42&gt;0,MAX($A$3:A41)+1," ")," ")</f>
        <v>18</v>
      </c>
      <c r="B42" s="70" t="s">
        <v>470</v>
      </c>
      <c r="C42" s="113" t="n">
        <v>10</v>
      </c>
      <c r="D42" s="36" t="s">
        <v>116</v>
      </c>
      <c r="E42" s="108" t="n">
        <v>365</v>
      </c>
      <c r="F42" s="108" t="n">
        <f aca="false">IF(ISBLANK(C42),"",C42*E42)</f>
        <v>3650</v>
      </c>
      <c r="G42" s="103"/>
      <c r="H42" s="113" t="n">
        <v>10</v>
      </c>
      <c r="I42" s="36" t="s">
        <v>116</v>
      </c>
      <c r="J42" s="108" t="n">
        <v>365</v>
      </c>
      <c r="K42" s="108" t="n">
        <f aca="false">IF(ISBLANK(H42),"",H42*J42)</f>
        <v>3650</v>
      </c>
      <c r="L42" s="103"/>
      <c r="M42" s="113" t="n">
        <v>10</v>
      </c>
      <c r="N42" s="36" t="s">
        <v>116</v>
      </c>
      <c r="O42" s="108" t="n">
        <v>365</v>
      </c>
      <c r="P42" s="108" t="n">
        <f aca="false">IF(ISBLANK(M42),"",M42*O42)</f>
        <v>3650</v>
      </c>
      <c r="Q42" s="103"/>
      <c r="R42" s="113" t="n">
        <v>10</v>
      </c>
      <c r="S42" s="36" t="s">
        <v>116</v>
      </c>
      <c r="T42" s="108" t="n">
        <v>365</v>
      </c>
      <c r="U42" s="108" t="n">
        <f aca="false">IF(ISBLANK(R42),"",R42*T42)</f>
        <v>3650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IF(B43&gt;0,IF(C43&gt;0,MAX($A$3:A42)+1,"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IF(B44&gt;0,IF(C44&gt;0,MAX($A$3:A43)+1," ")," ")</f>
        <v>19</v>
      </c>
      <c r="B44" s="70" t="s">
        <v>471</v>
      </c>
      <c r="C44" s="113" t="n">
        <v>50</v>
      </c>
      <c r="D44" s="36" t="s">
        <v>269</v>
      </c>
      <c r="E44" s="108" t="n">
        <v>15</v>
      </c>
      <c r="F44" s="108" t="n">
        <f aca="false">IF(ISBLANK(C44),"",C44*E44)</f>
        <v>750</v>
      </c>
      <c r="G44" s="103"/>
      <c r="H44" s="113" t="n">
        <v>50</v>
      </c>
      <c r="I44" s="36" t="s">
        <v>269</v>
      </c>
      <c r="J44" s="108" t="n">
        <v>15</v>
      </c>
      <c r="K44" s="108" t="n">
        <f aca="false">IF(ISBLANK(H44),"",H44*J44)</f>
        <v>750</v>
      </c>
      <c r="L44" s="103"/>
      <c r="M44" s="113" t="n">
        <v>50</v>
      </c>
      <c r="N44" s="36" t="s">
        <v>269</v>
      </c>
      <c r="O44" s="108" t="n">
        <v>15</v>
      </c>
      <c r="P44" s="108" t="n">
        <f aca="false">IF(ISBLANK(M44),"",M44*O44)</f>
        <v>750</v>
      </c>
      <c r="Q44" s="103"/>
      <c r="R44" s="113" t="n">
        <v>50</v>
      </c>
      <c r="S44" s="36" t="s">
        <v>269</v>
      </c>
      <c r="T44" s="108" t="n">
        <v>15</v>
      </c>
      <c r="U44" s="108" t="n">
        <f aca="false">IF(ISBLANK(R44),"",R44*T44)</f>
        <v>750</v>
      </c>
      <c r="V44" s="103"/>
      <c r="W44" s="113"/>
      <c r="X44" s="36" t="s">
        <v>269</v>
      </c>
      <c r="Y44" s="108"/>
      <c r="Z44" s="108" t="str">
        <f aca="false">IF(ISBLANK(W44),"",W44*Y44)</f>
        <v/>
      </c>
      <c r="AA44" s="103"/>
      <c r="AB44" s="113"/>
      <c r="AC44" s="36" t="s">
        <v>269</v>
      </c>
      <c r="AD44" s="108"/>
      <c r="AE44" s="108" t="str">
        <f aca="false">IF(ISBLANK(AB44),"",AB44*AD44)</f>
        <v/>
      </c>
      <c r="AF44" s="103"/>
      <c r="AG44" s="113"/>
      <c r="AH44" s="36" t="s">
        <v>269</v>
      </c>
      <c r="AI44" s="108"/>
      <c r="AJ44" s="108" t="str">
        <f aca="false">IF(ISBLANK(AG44),"",AG44*AI44)</f>
        <v/>
      </c>
      <c r="AK44" s="103"/>
      <c r="AL44" s="113"/>
      <c r="AM44" s="36" t="s">
        <v>269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IF(B45&gt;0,IF(C45&gt;0,MAX($A$3:A44)+1,"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IF(B46&gt;0,IF(C46&gt;0,MAX($A$3:A45)+1," ")," ")</f>
        <v>20</v>
      </c>
      <c r="B46" s="70" t="s">
        <v>415</v>
      </c>
      <c r="C46" s="113" t="n">
        <v>1</v>
      </c>
      <c r="D46" s="36" t="s">
        <v>209</v>
      </c>
      <c r="E46" s="108" t="n">
        <v>500</v>
      </c>
      <c r="F46" s="108" t="n">
        <f aca="false">IF(ISBLANK(C46),"",C46*E46)</f>
        <v>500</v>
      </c>
      <c r="G46" s="103"/>
      <c r="H46" s="113" t="n">
        <v>1</v>
      </c>
      <c r="I46" s="36" t="s">
        <v>209</v>
      </c>
      <c r="J46" s="108" t="n">
        <v>500</v>
      </c>
      <c r="K46" s="108" t="n">
        <f aca="false">IF(ISBLANK(H46),"",H46*J46)</f>
        <v>500</v>
      </c>
      <c r="L46" s="103"/>
      <c r="M46" s="113" t="n">
        <v>1</v>
      </c>
      <c r="N46" s="36" t="s">
        <v>209</v>
      </c>
      <c r="O46" s="108" t="n">
        <v>500</v>
      </c>
      <c r="P46" s="108" t="n">
        <f aca="false">IF(ISBLANK(M46),"",M46*O46)</f>
        <v>500</v>
      </c>
      <c r="Q46" s="103"/>
      <c r="R46" s="113" t="n">
        <v>1</v>
      </c>
      <c r="S46" s="36" t="s">
        <v>209</v>
      </c>
      <c r="T46" s="108" t="n">
        <v>500</v>
      </c>
      <c r="U46" s="108" t="n">
        <f aca="false">IF(ISBLANK(R46),"",R46*T46)</f>
        <v>500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2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IF(B52&gt;0,IF(C52&gt;0,MAX($A$3:A49)+1," ")," ")</f>
        <v>22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80955</v>
      </c>
      <c r="G54" s="103"/>
      <c r="H54" s="98"/>
      <c r="I54" s="98"/>
      <c r="J54" s="117" t="s">
        <v>177</v>
      </c>
      <c r="K54" s="117" t="n">
        <f aca="false">SUM(K5:K53)</f>
        <v>81455</v>
      </c>
      <c r="L54" s="103"/>
      <c r="M54" s="98"/>
      <c r="N54" s="98"/>
      <c r="O54" s="117" t="s">
        <v>177</v>
      </c>
      <c r="P54" s="117" t="n">
        <f aca="false">SUM(P5:P53)</f>
        <v>80555</v>
      </c>
      <c r="Q54" s="103"/>
      <c r="R54" s="98"/>
      <c r="S54" s="98"/>
      <c r="T54" s="117" t="s">
        <v>177</v>
      </c>
      <c r="U54" s="117" t="n">
        <f aca="false">SUM(U5:U53)</f>
        <v>80805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708333333333333" right="0.708333333333333" top="1.02777777777778" bottom="0.748611111111111" header="0.511811023622047" footer="0.315277777777778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&amp;N&amp;R&amp;"Arial,Regular"&amp;8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R1" colorId="64" zoomScale="96" zoomScaleNormal="96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3.3 Ceiling finishes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3.3 Ceiling finishes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472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750</v>
      </c>
      <c r="K8" s="108" t="n">
        <f aca="false">IF(ISBLANK(H8),"",H8*J8)</f>
        <v>750</v>
      </c>
      <c r="L8" s="103"/>
      <c r="M8" s="113" t="n">
        <v>1</v>
      </c>
      <c r="N8" s="36" t="s">
        <v>209</v>
      </c>
      <c r="O8" s="108" t="n">
        <v>250</v>
      </c>
      <c r="P8" s="108" t="n">
        <f aca="false">IF(ISBLANK(M8),"",M8*O8)</f>
        <v>250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473</v>
      </c>
      <c r="C10" s="113" t="n">
        <v>1</v>
      </c>
      <c r="D10" s="36" t="s">
        <v>209</v>
      </c>
      <c r="E10" s="108" t="n">
        <v>500</v>
      </c>
      <c r="F10" s="108" t="n">
        <f aca="false">IF(ISBLANK(C10),"",C10*E10)</f>
        <v>500</v>
      </c>
      <c r="G10" s="103"/>
      <c r="H10" s="113" t="n">
        <v>1</v>
      </c>
      <c r="I10" s="36" t="s">
        <v>209</v>
      </c>
      <c r="J10" s="108" t="n">
        <v>750</v>
      </c>
      <c r="K10" s="108" t="n">
        <f aca="false">IF(ISBLANK(H10),"",H10*J10)</f>
        <v>750</v>
      </c>
      <c r="L10" s="103"/>
      <c r="M10" s="113" t="n">
        <v>1</v>
      </c>
      <c r="N10" s="36" t="s">
        <v>209</v>
      </c>
      <c r="O10" s="108" t="n">
        <v>175</v>
      </c>
      <c r="P10" s="108" t="n">
        <f aca="false">IF(ISBLANK(M10),"",M10*O10)</f>
        <v>175</v>
      </c>
      <c r="Q10" s="103"/>
      <c r="R10" s="113" t="n">
        <v>1</v>
      </c>
      <c r="S10" s="36" t="s">
        <v>209</v>
      </c>
      <c r="T10" s="108" t="n">
        <v>500</v>
      </c>
      <c r="U10" s="108" t="n">
        <f aca="false">IF(ISBLANK(R10),"",R10*T10)</f>
        <v>500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474</v>
      </c>
      <c r="C12" s="113" t="n">
        <v>250</v>
      </c>
      <c r="D12" s="36" t="s">
        <v>116</v>
      </c>
      <c r="E12" s="108" t="n">
        <v>100</v>
      </c>
      <c r="F12" s="108" t="n">
        <f aca="false">IF(ISBLANK(C12),"",C12*E12)</f>
        <v>25000</v>
      </c>
      <c r="G12" s="103"/>
      <c r="H12" s="113" t="n">
        <v>250</v>
      </c>
      <c r="I12" s="36" t="s">
        <v>116</v>
      </c>
      <c r="J12" s="108" t="n">
        <v>25</v>
      </c>
      <c r="K12" s="108" t="n">
        <f aca="false">IF(ISBLANK(H12),"",H12*J12)</f>
        <v>6250</v>
      </c>
      <c r="L12" s="103"/>
      <c r="M12" s="113" t="n">
        <v>250</v>
      </c>
      <c r="N12" s="36" t="s">
        <v>116</v>
      </c>
      <c r="O12" s="108" t="n">
        <v>55</v>
      </c>
      <c r="P12" s="108" t="n">
        <f aca="false">IF(ISBLANK(M12),"",M12*O12)</f>
        <v>13750</v>
      </c>
      <c r="Q12" s="103"/>
      <c r="R12" s="113" t="n">
        <v>250</v>
      </c>
      <c r="S12" s="36" t="s">
        <v>116</v>
      </c>
      <c r="T12" s="108" t="n">
        <v>100</v>
      </c>
      <c r="U12" s="108" t="n">
        <f aca="false">IF(ISBLANK(R12),"",R12*T12)</f>
        <v>25000</v>
      </c>
      <c r="V12" s="103"/>
      <c r="W12" s="113"/>
      <c r="X12" s="36" t="s">
        <v>116</v>
      </c>
      <c r="Y12" s="108"/>
      <c r="Z12" s="108" t="str">
        <f aca="false">IF(ISBLANK(W12),"",W12*Y12)</f>
        <v/>
      </c>
      <c r="AA12" s="103"/>
      <c r="AB12" s="113"/>
      <c r="AC12" s="36" t="s">
        <v>116</v>
      </c>
      <c r="AD12" s="108"/>
      <c r="AE12" s="108" t="str">
        <f aca="false">IF(ISBLANK(AB12),"",AB12*AD12)</f>
        <v/>
      </c>
      <c r="AF12" s="103"/>
      <c r="AG12" s="113"/>
      <c r="AH12" s="36" t="s">
        <v>116</v>
      </c>
      <c r="AI12" s="108"/>
      <c r="AJ12" s="108" t="str">
        <f aca="false">IF(ISBLANK(AG12),"",AG12*AI12)</f>
        <v/>
      </c>
      <c r="AK12" s="103"/>
      <c r="AL12" s="113"/>
      <c r="AM12" s="36" t="s">
        <v>116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475</v>
      </c>
      <c r="C14" s="113" t="n">
        <v>350</v>
      </c>
      <c r="D14" s="36" t="s">
        <v>116</v>
      </c>
      <c r="E14" s="108" t="n">
        <v>100</v>
      </c>
      <c r="F14" s="108" t="n">
        <f aca="false">IF(ISBLANK(C14),"",C14*E14)</f>
        <v>35000</v>
      </c>
      <c r="G14" s="103"/>
      <c r="H14" s="113" t="n">
        <v>350</v>
      </c>
      <c r="I14" s="36" t="s">
        <v>116</v>
      </c>
      <c r="J14" s="108" t="n">
        <v>75</v>
      </c>
      <c r="K14" s="108" t="n">
        <f aca="false">IF(ISBLANK(H14),"",H14*J14)</f>
        <v>26250</v>
      </c>
      <c r="L14" s="103"/>
      <c r="M14" s="113" t="n">
        <v>350</v>
      </c>
      <c r="N14" s="36" t="s">
        <v>116</v>
      </c>
      <c r="O14" s="108" t="n">
        <v>300</v>
      </c>
      <c r="P14" s="108" t="n">
        <f aca="false">IF(ISBLANK(M14),"",M14*O14)</f>
        <v>105000</v>
      </c>
      <c r="Q14" s="103"/>
      <c r="R14" s="113" t="n">
        <v>350</v>
      </c>
      <c r="S14" s="36" t="s">
        <v>116</v>
      </c>
      <c r="T14" s="108" t="n">
        <v>100</v>
      </c>
      <c r="U14" s="108" t="n">
        <f aca="false">IF(ISBLANK(R14),"",R14*T14)</f>
        <v>35000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476</v>
      </c>
      <c r="C16" s="113" t="n">
        <v>150</v>
      </c>
      <c r="D16" s="36" t="s">
        <v>116</v>
      </c>
      <c r="E16" s="108" t="n">
        <v>85</v>
      </c>
      <c r="F16" s="108" t="n">
        <f aca="false">IF(ISBLANK(C16),"",C16*E16)</f>
        <v>12750</v>
      </c>
      <c r="G16" s="103"/>
      <c r="H16" s="113" t="n">
        <v>150</v>
      </c>
      <c r="I16" s="36" t="s">
        <v>116</v>
      </c>
      <c r="J16" s="108" t="n">
        <v>100</v>
      </c>
      <c r="K16" s="108" t="n">
        <f aca="false">IF(ISBLANK(H16),"",H16*J16)</f>
        <v>15000</v>
      </c>
      <c r="L16" s="103"/>
      <c r="M16" s="113" t="n">
        <v>150</v>
      </c>
      <c r="N16" s="36" t="s">
        <v>116</v>
      </c>
      <c r="O16" s="108" t="n">
        <v>185</v>
      </c>
      <c r="P16" s="108" t="n">
        <f aca="false">IF(ISBLANK(M16),"",M16*O16)</f>
        <v>27750</v>
      </c>
      <c r="Q16" s="103"/>
      <c r="R16" s="113" t="n">
        <v>150</v>
      </c>
      <c r="S16" s="36" t="s">
        <v>116</v>
      </c>
      <c r="T16" s="108" t="n">
        <v>85</v>
      </c>
      <c r="U16" s="108" t="n">
        <f aca="false">IF(ISBLANK(R16),"",R16*T16)</f>
        <v>12750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477</v>
      </c>
      <c r="C18" s="113" t="n">
        <v>500</v>
      </c>
      <c r="D18" s="36" t="s">
        <v>116</v>
      </c>
      <c r="E18" s="108" t="n">
        <v>45</v>
      </c>
      <c r="F18" s="108" t="n">
        <f aca="false">IF(ISBLANK(C18),"",C18*E18)</f>
        <v>22500</v>
      </c>
      <c r="G18" s="103"/>
      <c r="H18" s="113" t="n">
        <v>500</v>
      </c>
      <c r="I18" s="36" t="s">
        <v>116</v>
      </c>
      <c r="J18" s="108" t="n">
        <v>20</v>
      </c>
      <c r="K18" s="108" t="n">
        <f aca="false">IF(ISBLANK(H18),"",H18*J18)</f>
        <v>10000</v>
      </c>
      <c r="L18" s="103"/>
      <c r="M18" s="113" t="n">
        <v>500</v>
      </c>
      <c r="N18" s="36" t="s">
        <v>116</v>
      </c>
      <c r="O18" s="108" t="n">
        <v>100</v>
      </c>
      <c r="P18" s="108" t="n">
        <f aca="false">IF(ISBLANK(M18),"",M18*O18)</f>
        <v>50000</v>
      </c>
      <c r="Q18" s="103"/>
      <c r="R18" s="113" t="n">
        <v>500</v>
      </c>
      <c r="S18" s="36" t="s">
        <v>116</v>
      </c>
      <c r="T18" s="108" t="n">
        <v>45</v>
      </c>
      <c r="U18" s="108" t="n">
        <f aca="false">IF(ISBLANK(R18),"",R18*T18)</f>
        <v>22500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478</v>
      </c>
      <c r="C20" s="113" t="n">
        <v>300</v>
      </c>
      <c r="D20" s="36" t="s">
        <v>116</v>
      </c>
      <c r="E20" s="108" t="n">
        <v>175</v>
      </c>
      <c r="F20" s="108" t="n">
        <f aca="false">IF(ISBLANK(C20),"",C20*E20)</f>
        <v>52500</v>
      </c>
      <c r="G20" s="103"/>
      <c r="H20" s="113" t="n">
        <v>300</v>
      </c>
      <c r="I20" s="36" t="s">
        <v>116</v>
      </c>
      <c r="J20" s="108" t="n">
        <v>150</v>
      </c>
      <c r="K20" s="108" t="n">
        <f aca="false">IF(ISBLANK(H20),"",H20*J20)</f>
        <v>45000</v>
      </c>
      <c r="L20" s="103"/>
      <c r="M20" s="113" t="n">
        <v>300</v>
      </c>
      <c r="N20" s="36" t="s">
        <v>116</v>
      </c>
      <c r="O20" s="108" t="n">
        <v>175</v>
      </c>
      <c r="P20" s="108" t="n">
        <f aca="false">IF(ISBLANK(M20),"",M20*O20)</f>
        <v>52500</v>
      </c>
      <c r="Q20" s="103"/>
      <c r="R20" s="113" t="n">
        <v>300</v>
      </c>
      <c r="S20" s="36" t="s">
        <v>116</v>
      </c>
      <c r="T20" s="108" t="n">
        <v>250</v>
      </c>
      <c r="U20" s="108" t="n">
        <f aca="false">IF(ISBLANK(R20),"",R20*T20)</f>
        <v>75000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479</v>
      </c>
      <c r="C22" s="113" t="n">
        <v>350</v>
      </c>
      <c r="D22" s="36" t="s">
        <v>116</v>
      </c>
      <c r="E22" s="108" t="n">
        <v>150</v>
      </c>
      <c r="F22" s="108" t="n">
        <f aca="false">IF(ISBLANK(C22),"",C22*E22)</f>
        <v>52500</v>
      </c>
      <c r="G22" s="103"/>
      <c r="H22" s="113" t="n">
        <v>350</v>
      </c>
      <c r="I22" s="36" t="s">
        <v>116</v>
      </c>
      <c r="J22" s="108" t="n">
        <v>75</v>
      </c>
      <c r="K22" s="108" t="n">
        <f aca="false">IF(ISBLANK(H22),"",H22*J22)</f>
        <v>26250</v>
      </c>
      <c r="L22" s="103"/>
      <c r="M22" s="113" t="n">
        <v>350</v>
      </c>
      <c r="N22" s="36" t="s">
        <v>116</v>
      </c>
      <c r="O22" s="108" t="n">
        <v>150</v>
      </c>
      <c r="P22" s="108" t="n">
        <f aca="false">IF(ISBLANK(M22),"",M22*O22)</f>
        <v>52500</v>
      </c>
      <c r="Q22" s="103"/>
      <c r="R22" s="113" t="n">
        <v>350</v>
      </c>
      <c r="S22" s="36" t="s">
        <v>116</v>
      </c>
      <c r="T22" s="108" t="n">
        <v>175</v>
      </c>
      <c r="U22" s="108" t="n">
        <f aca="false">IF(ISBLANK(R22),"",R22*T22)</f>
        <v>61250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480</v>
      </c>
      <c r="C24" s="113" t="n">
        <v>250</v>
      </c>
      <c r="D24" s="36" t="s">
        <v>116</v>
      </c>
      <c r="E24" s="108" t="n">
        <v>150</v>
      </c>
      <c r="F24" s="108" t="n">
        <f aca="false">IF(ISBLANK(C24),"",C24*E24)</f>
        <v>37500</v>
      </c>
      <c r="G24" s="103"/>
      <c r="H24" s="113" t="n">
        <v>250</v>
      </c>
      <c r="I24" s="36" t="s">
        <v>116</v>
      </c>
      <c r="J24" s="108" t="n">
        <v>75</v>
      </c>
      <c r="K24" s="108" t="n">
        <f aca="false">IF(ISBLANK(H24),"",H24*J24)</f>
        <v>18750</v>
      </c>
      <c r="L24" s="103"/>
      <c r="M24" s="113" t="n">
        <v>250</v>
      </c>
      <c r="N24" s="36" t="s">
        <v>116</v>
      </c>
      <c r="O24" s="108" t="n">
        <v>150</v>
      </c>
      <c r="P24" s="108" t="n">
        <f aca="false">IF(ISBLANK(M24),"",M24*O24)</f>
        <v>37500</v>
      </c>
      <c r="Q24" s="103"/>
      <c r="R24" s="113" t="n">
        <v>250</v>
      </c>
      <c r="S24" s="36" t="s">
        <v>116</v>
      </c>
      <c r="T24" s="108" t="n">
        <v>55</v>
      </c>
      <c r="U24" s="108" t="n">
        <f aca="false">IF(ISBLANK(R24),"",R24*T24)</f>
        <v>13750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481</v>
      </c>
      <c r="C26" s="113" t="n">
        <v>100</v>
      </c>
      <c r="D26" s="36" t="s">
        <v>116</v>
      </c>
      <c r="E26" s="108" t="n">
        <v>250</v>
      </c>
      <c r="F26" s="108" t="n">
        <f aca="false">IF(ISBLANK(C26),"",C26*E26)</f>
        <v>25000</v>
      </c>
      <c r="G26" s="103"/>
      <c r="H26" s="113" t="n">
        <v>100</v>
      </c>
      <c r="I26" s="36" t="s">
        <v>116</v>
      </c>
      <c r="J26" s="108" t="n">
        <v>250</v>
      </c>
      <c r="K26" s="108" t="n">
        <f aca="false">IF(ISBLANK(H26),"",H26*J26)</f>
        <v>25000</v>
      </c>
      <c r="L26" s="103"/>
      <c r="M26" s="113" t="n">
        <v>100</v>
      </c>
      <c r="N26" s="36" t="s">
        <v>116</v>
      </c>
      <c r="O26" s="108" t="n">
        <v>250</v>
      </c>
      <c r="P26" s="108" t="n">
        <f aca="false">IF(ISBLANK(M26),"",M26*O26)</f>
        <v>25000</v>
      </c>
      <c r="Q26" s="103"/>
      <c r="R26" s="113" t="n">
        <v>100</v>
      </c>
      <c r="S26" s="36" t="s">
        <v>116</v>
      </c>
      <c r="T26" s="108" t="n">
        <v>300</v>
      </c>
      <c r="U26" s="108" t="n">
        <f aca="false">IF(ISBLANK(R26),"",R26*T26)</f>
        <v>30000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482</v>
      </c>
      <c r="C28" s="113" t="n">
        <v>450</v>
      </c>
      <c r="D28" s="36" t="s">
        <v>116</v>
      </c>
      <c r="E28" s="108" t="n">
        <v>75</v>
      </c>
      <c r="F28" s="108" t="n">
        <f aca="false">IF(ISBLANK(C28),"",C28*E28)</f>
        <v>33750</v>
      </c>
      <c r="G28" s="103"/>
      <c r="H28" s="113" t="n">
        <v>450</v>
      </c>
      <c r="I28" s="36" t="s">
        <v>116</v>
      </c>
      <c r="J28" s="108" t="n">
        <v>175</v>
      </c>
      <c r="K28" s="108" t="n">
        <f aca="false">IF(ISBLANK(H28),"",H28*J28)</f>
        <v>78750</v>
      </c>
      <c r="L28" s="103"/>
      <c r="M28" s="113" t="n">
        <v>450</v>
      </c>
      <c r="N28" s="36" t="s">
        <v>116</v>
      </c>
      <c r="O28" s="108" t="n">
        <v>75</v>
      </c>
      <c r="P28" s="108" t="n">
        <f aca="false">IF(ISBLANK(M28),"",M28*O28)</f>
        <v>33750</v>
      </c>
      <c r="Q28" s="103"/>
      <c r="R28" s="113" t="n">
        <v>450</v>
      </c>
      <c r="S28" s="36" t="s">
        <v>116</v>
      </c>
      <c r="T28" s="108" t="n">
        <v>185</v>
      </c>
      <c r="U28" s="108" t="n">
        <f aca="false">IF(ISBLANK(R28),"",R28*T28)</f>
        <v>83250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483</v>
      </c>
      <c r="C30" s="113" t="n">
        <v>100</v>
      </c>
      <c r="D30" s="36" t="s">
        <v>116</v>
      </c>
      <c r="E30" s="108" t="n">
        <v>150</v>
      </c>
      <c r="F30" s="108" t="n">
        <f aca="false">IF(ISBLANK(C30),"",C30*E30)</f>
        <v>15000</v>
      </c>
      <c r="G30" s="103"/>
      <c r="H30" s="113" t="n">
        <v>100</v>
      </c>
      <c r="I30" s="36" t="s">
        <v>116</v>
      </c>
      <c r="J30" s="108" t="n">
        <v>55</v>
      </c>
      <c r="K30" s="108" t="n">
        <f aca="false">IF(ISBLANK(H30),"",H30*J30)</f>
        <v>5500</v>
      </c>
      <c r="L30" s="103"/>
      <c r="M30" s="113" t="n">
        <v>100</v>
      </c>
      <c r="N30" s="36" t="s">
        <v>116</v>
      </c>
      <c r="O30" s="108" t="n">
        <v>150</v>
      </c>
      <c r="P30" s="108" t="n">
        <f aca="false">IF(ISBLANK(M30),"",M30*O30)</f>
        <v>15000</v>
      </c>
      <c r="Q30" s="103"/>
      <c r="R30" s="113" t="n">
        <v>100</v>
      </c>
      <c r="S30" s="36" t="s">
        <v>116</v>
      </c>
      <c r="T30" s="108" t="n">
        <v>100</v>
      </c>
      <c r="U30" s="108" t="n">
        <f aca="false">IF(ISBLANK(R30),"",R30*T30)</f>
        <v>10000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484</v>
      </c>
      <c r="C32" s="113" t="n">
        <v>40</v>
      </c>
      <c r="D32" s="36" t="s">
        <v>116</v>
      </c>
      <c r="E32" s="108" t="n">
        <v>450</v>
      </c>
      <c r="F32" s="108" t="n">
        <f aca="false">IF(ISBLANK(C32),"",C32*E32)</f>
        <v>18000</v>
      </c>
      <c r="G32" s="103"/>
      <c r="H32" s="113" t="n">
        <v>40</v>
      </c>
      <c r="I32" s="36" t="s">
        <v>116</v>
      </c>
      <c r="J32" s="108" t="n">
        <v>300</v>
      </c>
      <c r="K32" s="108" t="n">
        <f aca="false">IF(ISBLANK(H32),"",H32*J32)</f>
        <v>12000</v>
      </c>
      <c r="L32" s="103"/>
      <c r="M32" s="113" t="n">
        <v>40</v>
      </c>
      <c r="N32" s="36" t="s">
        <v>116</v>
      </c>
      <c r="O32" s="108" t="n">
        <v>450</v>
      </c>
      <c r="P32" s="108" t="n">
        <f aca="false">IF(ISBLANK(M32),"",M32*O32)</f>
        <v>18000</v>
      </c>
      <c r="Q32" s="103"/>
      <c r="R32" s="113" t="n">
        <v>40</v>
      </c>
      <c r="S32" s="36" t="s">
        <v>116</v>
      </c>
      <c r="T32" s="108" t="n">
        <v>450</v>
      </c>
      <c r="U32" s="108" t="n">
        <f aca="false">IF(ISBLANK(R32),"",R32*T32)</f>
        <v>18000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485</v>
      </c>
      <c r="C34" s="113" t="n">
        <v>200</v>
      </c>
      <c r="D34" s="36" t="s">
        <v>116</v>
      </c>
      <c r="E34" s="108" t="n">
        <v>200</v>
      </c>
      <c r="F34" s="108" t="n">
        <f aca="false">IF(ISBLANK(C34),"",C34*E34)</f>
        <v>40000</v>
      </c>
      <c r="G34" s="103"/>
      <c r="H34" s="113" t="n">
        <v>200</v>
      </c>
      <c r="I34" s="36" t="s">
        <v>116</v>
      </c>
      <c r="J34" s="108" t="n">
        <v>185</v>
      </c>
      <c r="K34" s="108" t="n">
        <f aca="false">IF(ISBLANK(H34),"",H34*J34)</f>
        <v>37000</v>
      </c>
      <c r="L34" s="103"/>
      <c r="M34" s="113" t="n">
        <v>200</v>
      </c>
      <c r="N34" s="36" t="s">
        <v>116</v>
      </c>
      <c r="O34" s="108" t="n">
        <v>200</v>
      </c>
      <c r="P34" s="108" t="n">
        <f aca="false">IF(ISBLANK(M34),"",M34*O34)</f>
        <v>40000</v>
      </c>
      <c r="Q34" s="103"/>
      <c r="R34" s="113" t="n">
        <v>200</v>
      </c>
      <c r="S34" s="36" t="s">
        <v>116</v>
      </c>
      <c r="T34" s="108" t="n">
        <v>200</v>
      </c>
      <c r="U34" s="108" t="n">
        <f aca="false">IF(ISBLANK(R34),"",R34*T34)</f>
        <v>40000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486</v>
      </c>
      <c r="C36" s="113" t="n">
        <v>300</v>
      </c>
      <c r="D36" s="36" t="s">
        <v>116</v>
      </c>
      <c r="E36" s="108" t="n">
        <v>65</v>
      </c>
      <c r="F36" s="108" t="n">
        <f aca="false">IF(ISBLANK(C36),"",C36*E36)</f>
        <v>19500</v>
      </c>
      <c r="G36" s="103"/>
      <c r="H36" s="113" t="n">
        <v>300</v>
      </c>
      <c r="I36" s="36" t="s">
        <v>116</v>
      </c>
      <c r="J36" s="108" t="n">
        <v>100</v>
      </c>
      <c r="K36" s="108" t="n">
        <f aca="false">IF(ISBLANK(H36),"",H36*J36)</f>
        <v>30000</v>
      </c>
      <c r="L36" s="103"/>
      <c r="M36" s="113" t="n">
        <v>300</v>
      </c>
      <c r="N36" s="36" t="s">
        <v>116</v>
      </c>
      <c r="O36" s="108" t="n">
        <v>65</v>
      </c>
      <c r="P36" s="108" t="n">
        <f aca="false">IF(ISBLANK(M36),"",M36*O36)</f>
        <v>19500</v>
      </c>
      <c r="Q36" s="103"/>
      <c r="R36" s="113" t="n">
        <v>300</v>
      </c>
      <c r="S36" s="36" t="s">
        <v>116</v>
      </c>
      <c r="T36" s="108" t="n">
        <v>65</v>
      </c>
      <c r="U36" s="108" t="n">
        <f aca="false">IF(ISBLANK(R36),"",R36*T36)</f>
        <v>19500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487</v>
      </c>
      <c r="C38" s="113" t="n">
        <v>500</v>
      </c>
      <c r="D38" s="36" t="s">
        <v>116</v>
      </c>
      <c r="E38" s="108" t="n">
        <v>45</v>
      </c>
      <c r="F38" s="108" t="n">
        <f aca="false">IF(ISBLANK(C38),"",C38*E38)</f>
        <v>22500</v>
      </c>
      <c r="G38" s="103"/>
      <c r="H38" s="113" t="n">
        <v>500</v>
      </c>
      <c r="I38" s="36" t="s">
        <v>116</v>
      </c>
      <c r="J38" s="108" t="n">
        <v>75</v>
      </c>
      <c r="K38" s="108" t="n">
        <f aca="false">IF(ISBLANK(H38),"",H38*J38)</f>
        <v>37500</v>
      </c>
      <c r="L38" s="103"/>
      <c r="M38" s="113" t="n">
        <v>500</v>
      </c>
      <c r="N38" s="36" t="s">
        <v>116</v>
      </c>
      <c r="O38" s="108" t="n">
        <v>45</v>
      </c>
      <c r="P38" s="108" t="n">
        <f aca="false">IF(ISBLANK(M38),"",M38*O38)</f>
        <v>22500</v>
      </c>
      <c r="Q38" s="103"/>
      <c r="R38" s="113" t="n">
        <v>500</v>
      </c>
      <c r="S38" s="36" t="s">
        <v>116</v>
      </c>
      <c r="T38" s="108" t="n">
        <v>45</v>
      </c>
      <c r="U38" s="108" t="n">
        <f aca="false">IF(ISBLANK(R38),"",R38*T38)</f>
        <v>22500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488</v>
      </c>
      <c r="C40" s="113" t="n">
        <v>250</v>
      </c>
      <c r="D40" s="36" t="s">
        <v>116</v>
      </c>
      <c r="E40" s="108" t="n">
        <v>45</v>
      </c>
      <c r="F40" s="108" t="n">
        <f aca="false">IF(ISBLANK(C40),"",C40*E40)</f>
        <v>11250</v>
      </c>
      <c r="G40" s="103"/>
      <c r="H40" s="113" t="n">
        <v>250</v>
      </c>
      <c r="I40" s="36" t="s">
        <v>116</v>
      </c>
      <c r="J40" s="108" t="n">
        <v>75</v>
      </c>
      <c r="K40" s="108" t="n">
        <f aca="false">IF(ISBLANK(H40),"",H40*J40)</f>
        <v>18750</v>
      </c>
      <c r="L40" s="103"/>
      <c r="M40" s="113" t="n">
        <v>250</v>
      </c>
      <c r="N40" s="36" t="s">
        <v>116</v>
      </c>
      <c r="O40" s="108" t="n">
        <v>45</v>
      </c>
      <c r="P40" s="108" t="n">
        <f aca="false">IF(ISBLANK(M40),"",M40*O40)</f>
        <v>11250</v>
      </c>
      <c r="Q40" s="103"/>
      <c r="R40" s="113" t="n">
        <v>250</v>
      </c>
      <c r="S40" s="36" t="s">
        <v>116</v>
      </c>
      <c r="T40" s="108" t="n">
        <v>45</v>
      </c>
      <c r="U40" s="108" t="n">
        <f aca="false">IF(ISBLANK(R40),"",R40*T40)</f>
        <v>11250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489</v>
      </c>
      <c r="C42" s="113" t="n">
        <v>10</v>
      </c>
      <c r="D42" s="36" t="s">
        <v>118</v>
      </c>
      <c r="E42" s="108" t="n">
        <v>75</v>
      </c>
      <c r="F42" s="108" t="n">
        <f aca="false">IF(ISBLANK(C42),"",C42*E42)</f>
        <v>750</v>
      </c>
      <c r="G42" s="103"/>
      <c r="H42" s="113" t="n">
        <v>10</v>
      </c>
      <c r="I42" s="36" t="s">
        <v>118</v>
      </c>
      <c r="J42" s="108" t="n">
        <v>90</v>
      </c>
      <c r="K42" s="108" t="n">
        <f aca="false">IF(ISBLANK(H42),"",H42*J42)</f>
        <v>900</v>
      </c>
      <c r="L42" s="103"/>
      <c r="M42" s="113" t="n">
        <v>10</v>
      </c>
      <c r="N42" s="36" t="s">
        <v>118</v>
      </c>
      <c r="O42" s="108" t="n">
        <v>75</v>
      </c>
      <c r="P42" s="108" t="n">
        <f aca="false">IF(ISBLANK(M42),"",M42*O42)</f>
        <v>750</v>
      </c>
      <c r="Q42" s="103"/>
      <c r="R42" s="113" t="n">
        <v>10</v>
      </c>
      <c r="S42" s="36" t="s">
        <v>118</v>
      </c>
      <c r="T42" s="108" t="n">
        <v>75</v>
      </c>
      <c r="U42" s="108" t="n">
        <f aca="false">IF(ISBLANK(R42),"",R42*T42)</f>
        <v>750</v>
      </c>
      <c r="V42" s="103"/>
      <c r="W42" s="113"/>
      <c r="X42" s="36" t="s">
        <v>118</v>
      </c>
      <c r="Y42" s="108"/>
      <c r="Z42" s="108" t="str">
        <f aca="false">IF(ISBLANK(W42),"",W42*Y42)</f>
        <v/>
      </c>
      <c r="AA42" s="103"/>
      <c r="AB42" s="113"/>
      <c r="AC42" s="36" t="s">
        <v>118</v>
      </c>
      <c r="AD42" s="108"/>
      <c r="AE42" s="108" t="str">
        <f aca="false">IF(ISBLANK(AB42),"",AB42*AD42)</f>
        <v/>
      </c>
      <c r="AF42" s="103"/>
      <c r="AG42" s="113"/>
      <c r="AH42" s="36" t="s">
        <v>118</v>
      </c>
      <c r="AI42" s="108"/>
      <c r="AJ42" s="108" t="str">
        <f aca="false">IF(ISBLANK(AG42),"",AG42*AI42)</f>
        <v/>
      </c>
      <c r="AK42" s="103"/>
      <c r="AL42" s="113"/>
      <c r="AM42" s="36" t="s">
        <v>118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490</v>
      </c>
      <c r="C44" s="113" t="n">
        <v>10</v>
      </c>
      <c r="D44" s="36" t="s">
        <v>269</v>
      </c>
      <c r="E44" s="108" t="n">
        <v>15</v>
      </c>
      <c r="F44" s="108" t="n">
        <f aca="false">IF(ISBLANK(C44),"",C44*E44)</f>
        <v>150</v>
      </c>
      <c r="G44" s="103"/>
      <c r="H44" s="113" t="n">
        <v>10</v>
      </c>
      <c r="I44" s="36" t="s">
        <v>269</v>
      </c>
      <c r="J44" s="108" t="n">
        <v>20</v>
      </c>
      <c r="K44" s="108" t="n">
        <f aca="false">IF(ISBLANK(H44),"",H44*J44)</f>
        <v>200</v>
      </c>
      <c r="L44" s="103"/>
      <c r="M44" s="113" t="n">
        <v>10</v>
      </c>
      <c r="N44" s="36" t="s">
        <v>269</v>
      </c>
      <c r="O44" s="108" t="n">
        <v>15</v>
      </c>
      <c r="P44" s="108" t="n">
        <f aca="false">IF(ISBLANK(M44),"",M44*O44)</f>
        <v>150</v>
      </c>
      <c r="Q44" s="103"/>
      <c r="R44" s="113" t="n">
        <v>10</v>
      </c>
      <c r="S44" s="36" t="s">
        <v>269</v>
      </c>
      <c r="T44" s="108" t="n">
        <v>15</v>
      </c>
      <c r="U44" s="108" t="n">
        <f aca="false">IF(ISBLANK(R44),"",R44*T44)</f>
        <v>150</v>
      </c>
      <c r="V44" s="103"/>
      <c r="W44" s="113"/>
      <c r="X44" s="36" t="s">
        <v>269</v>
      </c>
      <c r="Y44" s="108"/>
      <c r="Z44" s="108" t="str">
        <f aca="false">IF(ISBLANK(W44),"",W44*Y44)</f>
        <v/>
      </c>
      <c r="AA44" s="103"/>
      <c r="AB44" s="113"/>
      <c r="AC44" s="36" t="s">
        <v>269</v>
      </c>
      <c r="AD44" s="108"/>
      <c r="AE44" s="108" t="str">
        <f aca="false">IF(ISBLANK(AB44),"",AB44*AD44)</f>
        <v/>
      </c>
      <c r="AF44" s="103"/>
      <c r="AG44" s="113"/>
      <c r="AH44" s="36" t="s">
        <v>269</v>
      </c>
      <c r="AI44" s="108"/>
      <c r="AJ44" s="108" t="str">
        <f aca="false">IF(ISBLANK(AG44),"",AG44*AI44)</f>
        <v/>
      </c>
      <c r="AK44" s="103"/>
      <c r="AL44" s="113"/>
      <c r="AM44" s="36" t="s">
        <v>269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415</v>
      </c>
      <c r="C46" s="113" t="n">
        <v>1</v>
      </c>
      <c r="D46" s="36" t="s">
        <v>209</v>
      </c>
      <c r="E46" s="108" t="n">
        <v>1000</v>
      </c>
      <c r="F46" s="108" t="n">
        <f aca="false">IF(ISBLANK(C46),"",C46*E46)</f>
        <v>1000</v>
      </c>
      <c r="G46" s="103"/>
      <c r="H46" s="113" t="n">
        <v>1</v>
      </c>
      <c r="I46" s="36" t="s">
        <v>209</v>
      </c>
      <c r="J46" s="108" t="n">
        <v>1500</v>
      </c>
      <c r="K46" s="108" t="n">
        <f aca="false">IF(ISBLANK(H46),"",H46*J46)</f>
        <v>1500</v>
      </c>
      <c r="L46" s="103"/>
      <c r="M46" s="113" t="n">
        <v>1</v>
      </c>
      <c r="N46" s="36" t="s">
        <v>209</v>
      </c>
      <c r="O46" s="108" t="n">
        <v>1000</v>
      </c>
      <c r="P46" s="108" t="n">
        <f aca="false">IF(ISBLANK(M46),"",M46*O46)</f>
        <v>1000</v>
      </c>
      <c r="Q46" s="103"/>
      <c r="R46" s="113" t="n">
        <v>1</v>
      </c>
      <c r="S46" s="36" t="s">
        <v>209</v>
      </c>
      <c r="T46" s="108" t="n">
        <v>1000</v>
      </c>
      <c r="U46" s="108" t="n">
        <f aca="false">IF(ISBLANK(R46),"",R46*T46)</f>
        <v>1000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425650</v>
      </c>
      <c r="G54" s="103"/>
      <c r="H54" s="98"/>
      <c r="I54" s="98"/>
      <c r="J54" s="117" t="s">
        <v>177</v>
      </c>
      <c r="K54" s="117" t="n">
        <f aca="false">SUM(K5:K53)</f>
        <v>396100</v>
      </c>
      <c r="L54" s="103"/>
      <c r="M54" s="98"/>
      <c r="N54" s="98"/>
      <c r="O54" s="117" t="s">
        <v>177</v>
      </c>
      <c r="P54" s="117" t="n">
        <f aca="false">SUM(P5:P53)</f>
        <v>526325</v>
      </c>
      <c r="Q54" s="103"/>
      <c r="R54" s="98"/>
      <c r="S54" s="98"/>
      <c r="T54" s="117" t="s">
        <v>177</v>
      </c>
      <c r="U54" s="117" t="n">
        <f aca="false">SUM(U5:U53)</f>
        <v>482650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L1" colorId="64" zoomScale="80" zoomScaleNormal="8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4.1 FF&amp;E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4.1 FF&amp;E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491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500</v>
      </c>
      <c r="K8" s="108" t="n">
        <f aca="false">IF(ISBLANK(H8),"",H8*J8)</f>
        <v>500</v>
      </c>
      <c r="L8" s="103"/>
      <c r="M8" s="113" t="n">
        <v>1</v>
      </c>
      <c r="N8" s="36" t="s">
        <v>209</v>
      </c>
      <c r="O8" s="108" t="n">
        <v>500</v>
      </c>
      <c r="P8" s="108" t="n">
        <f aca="false">IF(ISBLANK(M8),"",M8*O8)</f>
        <v>500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492</v>
      </c>
      <c r="C10" s="113" t="n">
        <v>1</v>
      </c>
      <c r="D10" s="36" t="s">
        <v>209</v>
      </c>
      <c r="E10" s="108" t="n">
        <v>100</v>
      </c>
      <c r="F10" s="108" t="n">
        <f aca="false">IF(ISBLANK(C10),"",C10*E10)</f>
        <v>100</v>
      </c>
      <c r="G10" s="103"/>
      <c r="H10" s="113" t="n">
        <v>1</v>
      </c>
      <c r="I10" s="36" t="s">
        <v>209</v>
      </c>
      <c r="J10" s="108" t="n">
        <v>100</v>
      </c>
      <c r="K10" s="108" t="n">
        <f aca="false">IF(ISBLANK(H10),"",H10*J10)</f>
        <v>100</v>
      </c>
      <c r="L10" s="103"/>
      <c r="M10" s="113" t="n">
        <v>1</v>
      </c>
      <c r="N10" s="36" t="s">
        <v>209</v>
      </c>
      <c r="O10" s="108" t="n">
        <v>100</v>
      </c>
      <c r="P10" s="108" t="n">
        <f aca="false">IF(ISBLANK(M10),"",M10*O10)</f>
        <v>100</v>
      </c>
      <c r="Q10" s="103"/>
      <c r="R10" s="113" t="n">
        <v>1</v>
      </c>
      <c r="S10" s="36" t="s">
        <v>209</v>
      </c>
      <c r="T10" s="108" t="n">
        <v>100</v>
      </c>
      <c r="U10" s="108" t="n">
        <f aca="false">IF(ISBLANK(R10),"",R10*T10)</f>
        <v>100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493</v>
      </c>
      <c r="C12" s="113" t="n">
        <v>1</v>
      </c>
      <c r="D12" s="36" t="s">
        <v>209</v>
      </c>
      <c r="E12" s="108" t="n">
        <v>1000</v>
      </c>
      <c r="F12" s="108" t="n">
        <f aca="false">IF(ISBLANK(C12),"",C12*E12)</f>
        <v>1000</v>
      </c>
      <c r="G12" s="103"/>
      <c r="H12" s="113" t="n">
        <v>1</v>
      </c>
      <c r="I12" s="36" t="s">
        <v>209</v>
      </c>
      <c r="J12" s="108" t="n">
        <v>1000</v>
      </c>
      <c r="K12" s="108" t="n">
        <f aca="false">IF(ISBLANK(H12),"",H12*J12)</f>
        <v>1000</v>
      </c>
      <c r="L12" s="103"/>
      <c r="M12" s="113" t="n">
        <v>1</v>
      </c>
      <c r="N12" s="36" t="s">
        <v>209</v>
      </c>
      <c r="O12" s="108" t="n">
        <v>1000</v>
      </c>
      <c r="P12" s="108" t="n">
        <f aca="false">IF(ISBLANK(M12),"",M12*O12)</f>
        <v>1000</v>
      </c>
      <c r="Q12" s="103"/>
      <c r="R12" s="113" t="n">
        <v>1</v>
      </c>
      <c r="S12" s="36" t="s">
        <v>209</v>
      </c>
      <c r="T12" s="108" t="n">
        <v>1000</v>
      </c>
      <c r="U12" s="108" t="n">
        <f aca="false">IF(ISBLANK(R12),"",R12*T12)</f>
        <v>1000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494</v>
      </c>
      <c r="C14" s="113" t="n">
        <v>1</v>
      </c>
      <c r="D14" s="36" t="s">
        <v>209</v>
      </c>
      <c r="E14" s="108" t="n">
        <v>1000</v>
      </c>
      <c r="F14" s="108" t="n">
        <f aca="false">IF(ISBLANK(C14),"",C14*E14)</f>
        <v>1000</v>
      </c>
      <c r="G14" s="103"/>
      <c r="H14" s="113" t="n">
        <v>1</v>
      </c>
      <c r="I14" s="36" t="s">
        <v>209</v>
      </c>
      <c r="J14" s="108" t="n">
        <v>1000</v>
      </c>
      <c r="K14" s="108" t="n">
        <f aca="false">IF(ISBLANK(H14),"",H14*J14)</f>
        <v>1000</v>
      </c>
      <c r="L14" s="103"/>
      <c r="M14" s="113" t="n">
        <v>1</v>
      </c>
      <c r="N14" s="36" t="s">
        <v>209</v>
      </c>
      <c r="O14" s="108" t="n">
        <v>1000</v>
      </c>
      <c r="P14" s="108" t="n">
        <f aca="false">IF(ISBLANK(M14),"",M14*O14)</f>
        <v>1000</v>
      </c>
      <c r="Q14" s="103"/>
      <c r="R14" s="113" t="n">
        <v>1</v>
      </c>
      <c r="S14" s="36" t="s">
        <v>209</v>
      </c>
      <c r="T14" s="108" t="n">
        <v>1000</v>
      </c>
      <c r="U14" s="108" t="n">
        <f aca="false">IF(ISBLANK(R14),"",R14*T14)</f>
        <v>1000</v>
      </c>
      <c r="V14" s="103"/>
      <c r="W14" s="113"/>
      <c r="X14" s="36" t="s">
        <v>209</v>
      </c>
      <c r="Y14" s="108"/>
      <c r="Z14" s="108" t="str">
        <f aca="false">IF(ISBLANK(W14),"",W14*Y14)</f>
        <v/>
      </c>
      <c r="AA14" s="103"/>
      <c r="AB14" s="113"/>
      <c r="AC14" s="36" t="s">
        <v>209</v>
      </c>
      <c r="AD14" s="108"/>
      <c r="AE14" s="108" t="str">
        <f aca="false">IF(ISBLANK(AB14),"",AB14*AD14)</f>
        <v/>
      </c>
      <c r="AF14" s="103"/>
      <c r="AG14" s="113"/>
      <c r="AH14" s="36" t="s">
        <v>209</v>
      </c>
      <c r="AI14" s="108"/>
      <c r="AJ14" s="108" t="str">
        <f aca="false">IF(ISBLANK(AG14),"",AG14*AI14)</f>
        <v/>
      </c>
      <c r="AK14" s="103"/>
      <c r="AL14" s="113"/>
      <c r="AM14" s="36" t="s">
        <v>209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495</v>
      </c>
      <c r="C16" s="113" t="n">
        <v>7</v>
      </c>
      <c r="D16" s="36" t="s">
        <v>118</v>
      </c>
      <c r="E16" s="108" t="n">
        <v>750</v>
      </c>
      <c r="F16" s="108" t="n">
        <f aca="false">IF(ISBLANK(C16),"",C16*E16)</f>
        <v>5250</v>
      </c>
      <c r="G16" s="103"/>
      <c r="H16" s="113" t="n">
        <v>7</v>
      </c>
      <c r="I16" s="36" t="s">
        <v>118</v>
      </c>
      <c r="J16" s="108" t="n">
        <v>750</v>
      </c>
      <c r="K16" s="108" t="n">
        <f aca="false">IF(ISBLANK(H16),"",H16*J16)</f>
        <v>5250</v>
      </c>
      <c r="L16" s="103"/>
      <c r="M16" s="113" t="n">
        <v>7</v>
      </c>
      <c r="N16" s="36" t="s">
        <v>118</v>
      </c>
      <c r="O16" s="108" t="n">
        <v>750</v>
      </c>
      <c r="P16" s="108" t="n">
        <f aca="false">IF(ISBLANK(M16),"",M16*O16)</f>
        <v>5250</v>
      </c>
      <c r="Q16" s="103"/>
      <c r="R16" s="113" t="n">
        <v>7</v>
      </c>
      <c r="S16" s="36" t="s">
        <v>118</v>
      </c>
      <c r="T16" s="108" t="n">
        <v>750</v>
      </c>
      <c r="U16" s="108" t="n">
        <f aca="false">IF(ISBLANK(R16),"",R16*T16)</f>
        <v>5250</v>
      </c>
      <c r="V16" s="103"/>
      <c r="W16" s="113"/>
      <c r="X16" s="36" t="s">
        <v>118</v>
      </c>
      <c r="Y16" s="108"/>
      <c r="Z16" s="108" t="str">
        <f aca="false">IF(ISBLANK(W16),"",W16*Y16)</f>
        <v/>
      </c>
      <c r="AA16" s="103"/>
      <c r="AB16" s="113"/>
      <c r="AC16" s="36" t="s">
        <v>118</v>
      </c>
      <c r="AD16" s="108"/>
      <c r="AE16" s="108" t="str">
        <f aca="false">IF(ISBLANK(AB16),"",AB16*AD16)</f>
        <v/>
      </c>
      <c r="AF16" s="103"/>
      <c r="AG16" s="113"/>
      <c r="AH16" s="36" t="s">
        <v>118</v>
      </c>
      <c r="AI16" s="108"/>
      <c r="AJ16" s="108" t="str">
        <f aca="false">IF(ISBLANK(AG16),"",AG16*AI16)</f>
        <v/>
      </c>
      <c r="AK16" s="103"/>
      <c r="AL16" s="113"/>
      <c r="AM16" s="36" t="s">
        <v>118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496</v>
      </c>
      <c r="C18" s="113" t="n">
        <v>3</v>
      </c>
      <c r="D18" s="36" t="s">
        <v>118</v>
      </c>
      <c r="E18" s="108" t="n">
        <v>500</v>
      </c>
      <c r="F18" s="108" t="n">
        <f aca="false">IF(ISBLANK(C18),"",C18*E18)</f>
        <v>1500</v>
      </c>
      <c r="G18" s="103"/>
      <c r="H18" s="113" t="n">
        <v>3</v>
      </c>
      <c r="I18" s="36" t="s">
        <v>118</v>
      </c>
      <c r="J18" s="108" t="n">
        <v>500</v>
      </c>
      <c r="K18" s="108" t="n">
        <f aca="false">IF(ISBLANK(H18),"",H18*J18)</f>
        <v>1500</v>
      </c>
      <c r="L18" s="103"/>
      <c r="M18" s="113" t="n">
        <v>3</v>
      </c>
      <c r="N18" s="36" t="s">
        <v>118</v>
      </c>
      <c r="O18" s="108" t="n">
        <v>500</v>
      </c>
      <c r="P18" s="108" t="n">
        <f aca="false">IF(ISBLANK(M18),"",M18*O18)</f>
        <v>1500</v>
      </c>
      <c r="Q18" s="103"/>
      <c r="R18" s="113" t="n">
        <v>3</v>
      </c>
      <c r="S18" s="36" t="s">
        <v>118</v>
      </c>
      <c r="T18" s="108" t="n">
        <v>500</v>
      </c>
      <c r="U18" s="108" t="n">
        <f aca="false">IF(ISBLANK(R18),"",R18*T18)</f>
        <v>1500</v>
      </c>
      <c r="V18" s="103"/>
      <c r="W18" s="113"/>
      <c r="X18" s="36" t="s">
        <v>118</v>
      </c>
      <c r="Y18" s="108"/>
      <c r="Z18" s="108" t="str">
        <f aca="false">IF(ISBLANK(W18),"",W18*Y18)</f>
        <v/>
      </c>
      <c r="AA18" s="103"/>
      <c r="AB18" s="113"/>
      <c r="AC18" s="36" t="s">
        <v>118</v>
      </c>
      <c r="AD18" s="108"/>
      <c r="AE18" s="108" t="str">
        <f aca="false">IF(ISBLANK(AB18),"",AB18*AD18)</f>
        <v/>
      </c>
      <c r="AF18" s="103"/>
      <c r="AG18" s="113"/>
      <c r="AH18" s="36" t="s">
        <v>118</v>
      </c>
      <c r="AI18" s="108"/>
      <c r="AJ18" s="108" t="str">
        <f aca="false">IF(ISBLANK(AG18),"",AG18*AI18)</f>
        <v/>
      </c>
      <c r="AK18" s="103"/>
      <c r="AL18" s="113"/>
      <c r="AM18" s="36" t="s">
        <v>118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497</v>
      </c>
      <c r="C20" s="113" t="n">
        <v>15</v>
      </c>
      <c r="D20" s="36" t="s">
        <v>118</v>
      </c>
      <c r="E20" s="108" t="n">
        <v>78</v>
      </c>
      <c r="F20" s="108" t="n">
        <f aca="false">IF(ISBLANK(C20),"",C20*E20)</f>
        <v>1170</v>
      </c>
      <c r="G20" s="103"/>
      <c r="H20" s="113" t="n">
        <v>15</v>
      </c>
      <c r="I20" s="36" t="s">
        <v>118</v>
      </c>
      <c r="J20" s="108" t="n">
        <v>78</v>
      </c>
      <c r="K20" s="108" t="n">
        <f aca="false">IF(ISBLANK(H20),"",H20*J20)</f>
        <v>1170</v>
      </c>
      <c r="L20" s="103"/>
      <c r="M20" s="113" t="n">
        <v>15</v>
      </c>
      <c r="N20" s="36" t="s">
        <v>118</v>
      </c>
      <c r="O20" s="108" t="n">
        <v>78</v>
      </c>
      <c r="P20" s="108" t="n">
        <f aca="false">IF(ISBLANK(M20),"",M20*O20)</f>
        <v>1170</v>
      </c>
      <c r="Q20" s="103"/>
      <c r="R20" s="113" t="n">
        <v>15</v>
      </c>
      <c r="S20" s="36" t="s">
        <v>118</v>
      </c>
      <c r="T20" s="108" t="n">
        <v>78</v>
      </c>
      <c r="U20" s="108" t="n">
        <f aca="false">IF(ISBLANK(R20),"",R20*T20)</f>
        <v>1170</v>
      </c>
      <c r="V20" s="103"/>
      <c r="W20" s="113"/>
      <c r="X20" s="36" t="s">
        <v>118</v>
      </c>
      <c r="Y20" s="108"/>
      <c r="Z20" s="108" t="str">
        <f aca="false">IF(ISBLANK(W20),"",W20*Y20)</f>
        <v/>
      </c>
      <c r="AA20" s="103"/>
      <c r="AB20" s="113"/>
      <c r="AC20" s="36" t="s">
        <v>118</v>
      </c>
      <c r="AD20" s="108"/>
      <c r="AE20" s="108" t="str">
        <f aca="false">IF(ISBLANK(AB20),"",AB20*AD20)</f>
        <v/>
      </c>
      <c r="AF20" s="103"/>
      <c r="AG20" s="113"/>
      <c r="AH20" s="36" t="s">
        <v>118</v>
      </c>
      <c r="AI20" s="108"/>
      <c r="AJ20" s="108" t="str">
        <f aca="false">IF(ISBLANK(AG20),"",AG20*AI20)</f>
        <v/>
      </c>
      <c r="AK20" s="103"/>
      <c r="AL20" s="113"/>
      <c r="AM20" s="36" t="s">
        <v>118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498</v>
      </c>
      <c r="C22" s="113" t="n">
        <v>9</v>
      </c>
      <c r="D22" s="36" t="s">
        <v>118</v>
      </c>
      <c r="E22" s="108" t="n">
        <v>75</v>
      </c>
      <c r="F22" s="108" t="n">
        <f aca="false">IF(ISBLANK(C22),"",C22*E22)</f>
        <v>675</v>
      </c>
      <c r="G22" s="103"/>
      <c r="H22" s="113" t="n">
        <v>9</v>
      </c>
      <c r="I22" s="36" t="s">
        <v>118</v>
      </c>
      <c r="J22" s="108" t="n">
        <v>75</v>
      </c>
      <c r="K22" s="108" t="n">
        <f aca="false">IF(ISBLANK(H22),"",H22*J22)</f>
        <v>675</v>
      </c>
      <c r="L22" s="103"/>
      <c r="M22" s="113" t="n">
        <v>9</v>
      </c>
      <c r="N22" s="36" t="s">
        <v>118</v>
      </c>
      <c r="O22" s="108" t="n">
        <v>75</v>
      </c>
      <c r="P22" s="108" t="n">
        <f aca="false">IF(ISBLANK(M22),"",M22*O22)</f>
        <v>675</v>
      </c>
      <c r="Q22" s="103"/>
      <c r="R22" s="113" t="n">
        <v>9</v>
      </c>
      <c r="S22" s="36" t="s">
        <v>118</v>
      </c>
      <c r="T22" s="108" t="n">
        <v>75</v>
      </c>
      <c r="U22" s="108" t="n">
        <f aca="false">IF(ISBLANK(R22),"",R22*T22)</f>
        <v>675</v>
      </c>
      <c r="V22" s="103"/>
      <c r="W22" s="113"/>
      <c r="X22" s="36" t="s">
        <v>118</v>
      </c>
      <c r="Y22" s="108"/>
      <c r="Z22" s="108" t="str">
        <f aca="false">IF(ISBLANK(W22),"",W22*Y22)</f>
        <v/>
      </c>
      <c r="AA22" s="103"/>
      <c r="AB22" s="113"/>
      <c r="AC22" s="36" t="s">
        <v>118</v>
      </c>
      <c r="AD22" s="108"/>
      <c r="AE22" s="108" t="str">
        <f aca="false">IF(ISBLANK(AB22),"",AB22*AD22)</f>
        <v/>
      </c>
      <c r="AF22" s="103"/>
      <c r="AG22" s="113"/>
      <c r="AH22" s="36" t="s">
        <v>118</v>
      </c>
      <c r="AI22" s="108"/>
      <c r="AJ22" s="108" t="str">
        <f aca="false">IF(ISBLANK(AG22),"",AG22*AI22)</f>
        <v/>
      </c>
      <c r="AK22" s="103"/>
      <c r="AL22" s="113"/>
      <c r="AM22" s="36" t="s">
        <v>118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499</v>
      </c>
      <c r="C24" s="113" t="n">
        <v>20</v>
      </c>
      <c r="D24" s="36" t="s">
        <v>118</v>
      </c>
      <c r="E24" s="108" t="n">
        <v>50</v>
      </c>
      <c r="F24" s="108" t="n">
        <f aca="false">IF(ISBLANK(C24),"",C24*E24)</f>
        <v>1000</v>
      </c>
      <c r="G24" s="103"/>
      <c r="H24" s="113" t="n">
        <v>20</v>
      </c>
      <c r="I24" s="36" t="s">
        <v>118</v>
      </c>
      <c r="J24" s="108" t="n">
        <v>50</v>
      </c>
      <c r="K24" s="108" t="n">
        <f aca="false">IF(ISBLANK(H24),"",H24*J24)</f>
        <v>1000</v>
      </c>
      <c r="L24" s="103"/>
      <c r="M24" s="113" t="n">
        <v>20</v>
      </c>
      <c r="N24" s="36" t="s">
        <v>118</v>
      </c>
      <c r="O24" s="108" t="n">
        <v>50</v>
      </c>
      <c r="P24" s="108" t="n">
        <f aca="false">IF(ISBLANK(M24),"",M24*O24)</f>
        <v>1000</v>
      </c>
      <c r="Q24" s="103"/>
      <c r="R24" s="113" t="n">
        <v>20</v>
      </c>
      <c r="S24" s="36" t="s">
        <v>118</v>
      </c>
      <c r="T24" s="108" t="n">
        <v>50</v>
      </c>
      <c r="U24" s="108" t="n">
        <f aca="false">IF(ISBLANK(R24),"",R24*T24)</f>
        <v>1000</v>
      </c>
      <c r="V24" s="103"/>
      <c r="W24" s="113"/>
      <c r="X24" s="36" t="s">
        <v>118</v>
      </c>
      <c r="Y24" s="108"/>
      <c r="Z24" s="108" t="str">
        <f aca="false">IF(ISBLANK(W24),"",W24*Y24)</f>
        <v/>
      </c>
      <c r="AA24" s="103"/>
      <c r="AB24" s="113"/>
      <c r="AC24" s="36" t="s">
        <v>118</v>
      </c>
      <c r="AD24" s="108"/>
      <c r="AE24" s="108" t="str">
        <f aca="false">IF(ISBLANK(AB24),"",AB24*AD24)</f>
        <v/>
      </c>
      <c r="AF24" s="103"/>
      <c r="AG24" s="113"/>
      <c r="AH24" s="36" t="s">
        <v>118</v>
      </c>
      <c r="AI24" s="108"/>
      <c r="AJ24" s="108" t="str">
        <f aca="false">IF(ISBLANK(AG24),"",AG24*AI24)</f>
        <v/>
      </c>
      <c r="AK24" s="103"/>
      <c r="AL24" s="113"/>
      <c r="AM24" s="36" t="s">
        <v>118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500</v>
      </c>
      <c r="C26" s="113" t="n">
        <v>10</v>
      </c>
      <c r="D26" s="36" t="s">
        <v>118</v>
      </c>
      <c r="E26" s="108" t="n">
        <v>450</v>
      </c>
      <c r="F26" s="108" t="n">
        <f aca="false">IF(ISBLANK(C26),"",C26*E26)</f>
        <v>4500</v>
      </c>
      <c r="G26" s="103"/>
      <c r="H26" s="113" t="n">
        <v>10</v>
      </c>
      <c r="I26" s="36" t="s">
        <v>118</v>
      </c>
      <c r="J26" s="108" t="n">
        <v>450</v>
      </c>
      <c r="K26" s="108" t="n">
        <f aca="false">IF(ISBLANK(H26),"",H26*J26)</f>
        <v>4500</v>
      </c>
      <c r="L26" s="103"/>
      <c r="M26" s="113" t="n">
        <v>10</v>
      </c>
      <c r="N26" s="36" t="s">
        <v>118</v>
      </c>
      <c r="O26" s="108" t="n">
        <v>450</v>
      </c>
      <c r="P26" s="108" t="n">
        <f aca="false">IF(ISBLANK(M26),"",M26*O26)</f>
        <v>4500</v>
      </c>
      <c r="Q26" s="103"/>
      <c r="R26" s="113" t="n">
        <v>10</v>
      </c>
      <c r="S26" s="36" t="s">
        <v>118</v>
      </c>
      <c r="T26" s="108" t="n">
        <v>450</v>
      </c>
      <c r="U26" s="108" t="n">
        <f aca="false">IF(ISBLANK(R26),"",R26*T26)</f>
        <v>4500</v>
      </c>
      <c r="V26" s="103"/>
      <c r="W26" s="113"/>
      <c r="X26" s="36" t="s">
        <v>118</v>
      </c>
      <c r="Y26" s="108"/>
      <c r="Z26" s="108" t="str">
        <f aca="false">IF(ISBLANK(W26),"",W26*Y26)</f>
        <v/>
      </c>
      <c r="AA26" s="103"/>
      <c r="AB26" s="113"/>
      <c r="AC26" s="36" t="s">
        <v>118</v>
      </c>
      <c r="AD26" s="108"/>
      <c r="AE26" s="108" t="str">
        <f aca="false">IF(ISBLANK(AB26),"",AB26*AD26)</f>
        <v/>
      </c>
      <c r="AF26" s="103"/>
      <c r="AG26" s="113"/>
      <c r="AH26" s="36" t="s">
        <v>118</v>
      </c>
      <c r="AI26" s="108"/>
      <c r="AJ26" s="108" t="str">
        <f aca="false">IF(ISBLANK(AG26),"",AG26*AI26)</f>
        <v/>
      </c>
      <c r="AK26" s="103"/>
      <c r="AL26" s="113"/>
      <c r="AM26" s="36" t="s">
        <v>118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501</v>
      </c>
      <c r="C28" s="113" t="n">
        <v>10</v>
      </c>
      <c r="D28" s="36" t="s">
        <v>118</v>
      </c>
      <c r="E28" s="108" t="n">
        <v>750</v>
      </c>
      <c r="F28" s="108" t="n">
        <f aca="false">IF(ISBLANK(C28),"",C28*E28)</f>
        <v>7500</v>
      </c>
      <c r="G28" s="103"/>
      <c r="H28" s="113" t="n">
        <v>10</v>
      </c>
      <c r="I28" s="36" t="s">
        <v>118</v>
      </c>
      <c r="J28" s="108" t="n">
        <v>750</v>
      </c>
      <c r="K28" s="108" t="n">
        <f aca="false">IF(ISBLANK(H28),"",H28*J28)</f>
        <v>7500</v>
      </c>
      <c r="L28" s="103"/>
      <c r="M28" s="113" t="n">
        <v>10</v>
      </c>
      <c r="N28" s="36" t="s">
        <v>118</v>
      </c>
      <c r="O28" s="108" t="n">
        <v>750</v>
      </c>
      <c r="P28" s="108" t="n">
        <f aca="false">IF(ISBLANK(M28),"",M28*O28)</f>
        <v>7500</v>
      </c>
      <c r="Q28" s="103"/>
      <c r="R28" s="113" t="n">
        <v>10</v>
      </c>
      <c r="S28" s="36" t="s">
        <v>118</v>
      </c>
      <c r="T28" s="108" t="n">
        <v>750</v>
      </c>
      <c r="U28" s="108" t="n">
        <f aca="false">IF(ISBLANK(R28),"",R28*T28)</f>
        <v>7500</v>
      </c>
      <c r="V28" s="103"/>
      <c r="W28" s="113"/>
      <c r="X28" s="36" t="s">
        <v>118</v>
      </c>
      <c r="Y28" s="108"/>
      <c r="Z28" s="108" t="str">
        <f aca="false">IF(ISBLANK(W28),"",W28*Y28)</f>
        <v/>
      </c>
      <c r="AA28" s="103"/>
      <c r="AB28" s="113"/>
      <c r="AC28" s="36" t="s">
        <v>118</v>
      </c>
      <c r="AD28" s="108"/>
      <c r="AE28" s="108" t="str">
        <f aca="false">IF(ISBLANK(AB28),"",AB28*AD28)</f>
        <v/>
      </c>
      <c r="AF28" s="103"/>
      <c r="AG28" s="113"/>
      <c r="AH28" s="36" t="s">
        <v>118</v>
      </c>
      <c r="AI28" s="108"/>
      <c r="AJ28" s="108" t="str">
        <f aca="false">IF(ISBLANK(AG28),"",AG28*AI28)</f>
        <v/>
      </c>
      <c r="AK28" s="103"/>
      <c r="AL28" s="113"/>
      <c r="AM28" s="36" t="s">
        <v>118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502</v>
      </c>
      <c r="C30" s="113" t="n">
        <v>15</v>
      </c>
      <c r="D30" s="36" t="s">
        <v>118</v>
      </c>
      <c r="E30" s="108" t="n">
        <v>400</v>
      </c>
      <c r="F30" s="108" t="n">
        <f aca="false">IF(ISBLANK(C30),"",C30*E30)</f>
        <v>6000</v>
      </c>
      <c r="G30" s="103"/>
      <c r="H30" s="113" t="n">
        <v>15</v>
      </c>
      <c r="I30" s="36" t="s">
        <v>118</v>
      </c>
      <c r="J30" s="108" t="n">
        <v>400</v>
      </c>
      <c r="K30" s="108" t="n">
        <f aca="false">IF(ISBLANK(H30),"",H30*J30)</f>
        <v>6000</v>
      </c>
      <c r="L30" s="103"/>
      <c r="M30" s="113" t="n">
        <v>15</v>
      </c>
      <c r="N30" s="36" t="s">
        <v>118</v>
      </c>
      <c r="O30" s="108" t="n">
        <v>400</v>
      </c>
      <c r="P30" s="108" t="n">
        <f aca="false">IF(ISBLANK(M30),"",M30*O30)</f>
        <v>6000</v>
      </c>
      <c r="Q30" s="103"/>
      <c r="R30" s="113" t="n">
        <v>15</v>
      </c>
      <c r="S30" s="36" t="s">
        <v>118</v>
      </c>
      <c r="T30" s="108" t="n">
        <v>400</v>
      </c>
      <c r="U30" s="108" t="n">
        <f aca="false">IF(ISBLANK(R30),"",R30*T30)</f>
        <v>6000</v>
      </c>
      <c r="V30" s="103"/>
      <c r="W30" s="113"/>
      <c r="X30" s="36" t="s">
        <v>118</v>
      </c>
      <c r="Y30" s="108"/>
      <c r="Z30" s="108" t="str">
        <f aca="false">IF(ISBLANK(W30),"",W30*Y30)</f>
        <v/>
      </c>
      <c r="AA30" s="103"/>
      <c r="AB30" s="113"/>
      <c r="AC30" s="36" t="s">
        <v>118</v>
      </c>
      <c r="AD30" s="108"/>
      <c r="AE30" s="108" t="str">
        <f aca="false">IF(ISBLANK(AB30),"",AB30*AD30)</f>
        <v/>
      </c>
      <c r="AF30" s="103"/>
      <c r="AG30" s="113"/>
      <c r="AH30" s="36" t="s">
        <v>118</v>
      </c>
      <c r="AI30" s="108"/>
      <c r="AJ30" s="108" t="str">
        <f aca="false">IF(ISBLANK(AG30),"",AG30*AI30)</f>
        <v/>
      </c>
      <c r="AK30" s="103"/>
      <c r="AL30" s="113"/>
      <c r="AM30" s="36" t="s">
        <v>118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503</v>
      </c>
      <c r="C32" s="113" t="n">
        <v>10</v>
      </c>
      <c r="D32" s="36" t="s">
        <v>118</v>
      </c>
      <c r="E32" s="108" t="n">
        <v>250</v>
      </c>
      <c r="F32" s="108" t="n">
        <f aca="false">IF(ISBLANK(C32),"",C32*E32)</f>
        <v>2500</v>
      </c>
      <c r="G32" s="103"/>
      <c r="H32" s="113" t="n">
        <v>10</v>
      </c>
      <c r="I32" s="36" t="s">
        <v>118</v>
      </c>
      <c r="J32" s="108" t="n">
        <v>250</v>
      </c>
      <c r="K32" s="108" t="n">
        <f aca="false">IF(ISBLANK(H32),"",H32*J32)</f>
        <v>2500</v>
      </c>
      <c r="L32" s="103"/>
      <c r="M32" s="113" t="n">
        <v>10</v>
      </c>
      <c r="N32" s="36" t="s">
        <v>118</v>
      </c>
      <c r="O32" s="108" t="n">
        <v>250</v>
      </c>
      <c r="P32" s="108" t="n">
        <f aca="false">IF(ISBLANK(M32),"",M32*O32)</f>
        <v>2500</v>
      </c>
      <c r="Q32" s="103"/>
      <c r="R32" s="113" t="n">
        <v>10</v>
      </c>
      <c r="S32" s="36" t="s">
        <v>118</v>
      </c>
      <c r="T32" s="108" t="n">
        <v>250</v>
      </c>
      <c r="U32" s="108" t="n">
        <f aca="false">IF(ISBLANK(R32),"",R32*T32)</f>
        <v>2500</v>
      </c>
      <c r="V32" s="103"/>
      <c r="W32" s="113"/>
      <c r="X32" s="36" t="s">
        <v>118</v>
      </c>
      <c r="Y32" s="108"/>
      <c r="Z32" s="108" t="str">
        <f aca="false">IF(ISBLANK(W32),"",W32*Y32)</f>
        <v/>
      </c>
      <c r="AA32" s="103"/>
      <c r="AB32" s="113"/>
      <c r="AC32" s="36" t="s">
        <v>118</v>
      </c>
      <c r="AD32" s="108"/>
      <c r="AE32" s="108" t="str">
        <f aca="false">IF(ISBLANK(AB32),"",AB32*AD32)</f>
        <v/>
      </c>
      <c r="AF32" s="103"/>
      <c r="AG32" s="113"/>
      <c r="AH32" s="36" t="s">
        <v>118</v>
      </c>
      <c r="AI32" s="108"/>
      <c r="AJ32" s="108" t="str">
        <f aca="false">IF(ISBLANK(AG32),"",AG32*AI32)</f>
        <v/>
      </c>
      <c r="AK32" s="103"/>
      <c r="AL32" s="113"/>
      <c r="AM32" s="36" t="s">
        <v>118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504</v>
      </c>
      <c r="C34" s="113" t="n">
        <v>5</v>
      </c>
      <c r="D34" s="36" t="s">
        <v>118</v>
      </c>
      <c r="E34" s="108" t="n">
        <v>100</v>
      </c>
      <c r="F34" s="108" t="n">
        <f aca="false">IF(ISBLANK(C34),"",C34*E34)</f>
        <v>500</v>
      </c>
      <c r="G34" s="103"/>
      <c r="H34" s="113" t="n">
        <v>5</v>
      </c>
      <c r="I34" s="36" t="s">
        <v>118</v>
      </c>
      <c r="J34" s="108" t="n">
        <v>100</v>
      </c>
      <c r="K34" s="108" t="n">
        <f aca="false">IF(ISBLANK(H34),"",H34*J34)</f>
        <v>500</v>
      </c>
      <c r="L34" s="103"/>
      <c r="M34" s="113" t="n">
        <v>5</v>
      </c>
      <c r="N34" s="36" t="s">
        <v>118</v>
      </c>
      <c r="O34" s="108" t="n">
        <v>100</v>
      </c>
      <c r="P34" s="108" t="n">
        <f aca="false">IF(ISBLANK(M34),"",M34*O34)</f>
        <v>500</v>
      </c>
      <c r="Q34" s="103"/>
      <c r="R34" s="113" t="n">
        <v>5</v>
      </c>
      <c r="S34" s="36" t="s">
        <v>118</v>
      </c>
      <c r="T34" s="108" t="n">
        <v>100</v>
      </c>
      <c r="U34" s="108" t="n">
        <f aca="false">IF(ISBLANK(R34),"",R34*T34)</f>
        <v>500</v>
      </c>
      <c r="V34" s="103"/>
      <c r="W34" s="113"/>
      <c r="X34" s="36" t="s">
        <v>118</v>
      </c>
      <c r="Y34" s="108"/>
      <c r="Z34" s="108" t="str">
        <f aca="false">IF(ISBLANK(W34),"",W34*Y34)</f>
        <v/>
      </c>
      <c r="AA34" s="103"/>
      <c r="AB34" s="113"/>
      <c r="AC34" s="36" t="s">
        <v>118</v>
      </c>
      <c r="AD34" s="108"/>
      <c r="AE34" s="108" t="str">
        <f aca="false">IF(ISBLANK(AB34),"",AB34*AD34)</f>
        <v/>
      </c>
      <c r="AF34" s="103"/>
      <c r="AG34" s="113"/>
      <c r="AH34" s="36" t="s">
        <v>118</v>
      </c>
      <c r="AI34" s="108"/>
      <c r="AJ34" s="108" t="str">
        <f aca="false">IF(ISBLANK(AG34),"",AG34*AI34)</f>
        <v/>
      </c>
      <c r="AK34" s="103"/>
      <c r="AL34" s="113"/>
      <c r="AM34" s="36" t="s">
        <v>118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505</v>
      </c>
      <c r="C36" s="113" t="n">
        <v>8</v>
      </c>
      <c r="D36" s="36" t="s">
        <v>118</v>
      </c>
      <c r="E36" s="108" t="n">
        <v>90</v>
      </c>
      <c r="F36" s="108" t="n">
        <f aca="false">IF(ISBLANK(C36),"",C36*E36)</f>
        <v>720</v>
      </c>
      <c r="G36" s="103"/>
      <c r="H36" s="113" t="n">
        <v>8</v>
      </c>
      <c r="I36" s="36" t="s">
        <v>118</v>
      </c>
      <c r="J36" s="108" t="n">
        <v>90</v>
      </c>
      <c r="K36" s="108" t="n">
        <f aca="false">IF(ISBLANK(H36),"",H36*J36)</f>
        <v>720</v>
      </c>
      <c r="L36" s="103"/>
      <c r="M36" s="113" t="n">
        <v>8</v>
      </c>
      <c r="N36" s="36" t="s">
        <v>118</v>
      </c>
      <c r="O36" s="108" t="n">
        <v>90</v>
      </c>
      <c r="P36" s="108" t="n">
        <f aca="false">IF(ISBLANK(M36),"",M36*O36)</f>
        <v>720</v>
      </c>
      <c r="Q36" s="103"/>
      <c r="R36" s="113" t="n">
        <v>8</v>
      </c>
      <c r="S36" s="36" t="s">
        <v>118</v>
      </c>
      <c r="T36" s="108" t="n">
        <v>90</v>
      </c>
      <c r="U36" s="108" t="n">
        <f aca="false">IF(ISBLANK(R36),"",R36*T36)</f>
        <v>720</v>
      </c>
      <c r="V36" s="103"/>
      <c r="W36" s="113"/>
      <c r="X36" s="36" t="s">
        <v>118</v>
      </c>
      <c r="Y36" s="108"/>
      <c r="Z36" s="108" t="str">
        <f aca="false">IF(ISBLANK(W36),"",W36*Y36)</f>
        <v/>
      </c>
      <c r="AA36" s="103"/>
      <c r="AB36" s="113"/>
      <c r="AC36" s="36" t="s">
        <v>118</v>
      </c>
      <c r="AD36" s="108"/>
      <c r="AE36" s="108" t="str">
        <f aca="false">IF(ISBLANK(AB36),"",AB36*AD36)</f>
        <v/>
      </c>
      <c r="AF36" s="103"/>
      <c r="AG36" s="113"/>
      <c r="AH36" s="36" t="s">
        <v>118</v>
      </c>
      <c r="AI36" s="108"/>
      <c r="AJ36" s="108" t="str">
        <f aca="false">IF(ISBLANK(AG36),"",AG36*AI36)</f>
        <v/>
      </c>
      <c r="AK36" s="103"/>
      <c r="AL36" s="113"/>
      <c r="AM36" s="36" t="s">
        <v>118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506</v>
      </c>
      <c r="C38" s="113" t="n">
        <v>10</v>
      </c>
      <c r="D38" s="36" t="s">
        <v>118</v>
      </c>
      <c r="E38" s="108" t="n">
        <v>450</v>
      </c>
      <c r="F38" s="108" t="n">
        <f aca="false">IF(ISBLANK(C38),"",C38*E38)</f>
        <v>4500</v>
      </c>
      <c r="G38" s="103"/>
      <c r="H38" s="113" t="n">
        <v>10</v>
      </c>
      <c r="I38" s="36" t="s">
        <v>118</v>
      </c>
      <c r="J38" s="108" t="n">
        <v>450</v>
      </c>
      <c r="K38" s="108" t="n">
        <f aca="false">IF(ISBLANK(H38),"",H38*J38)</f>
        <v>4500</v>
      </c>
      <c r="L38" s="103"/>
      <c r="M38" s="113" t="n">
        <v>10</v>
      </c>
      <c r="N38" s="36" t="s">
        <v>118</v>
      </c>
      <c r="O38" s="108" t="n">
        <v>450</v>
      </c>
      <c r="P38" s="108" t="n">
        <f aca="false">IF(ISBLANK(M38),"",M38*O38)</f>
        <v>4500</v>
      </c>
      <c r="Q38" s="103"/>
      <c r="R38" s="113" t="n">
        <v>10</v>
      </c>
      <c r="S38" s="36" t="s">
        <v>118</v>
      </c>
      <c r="T38" s="108" t="n">
        <v>450</v>
      </c>
      <c r="U38" s="108" t="n">
        <f aca="false">IF(ISBLANK(R38),"",R38*T38)</f>
        <v>4500</v>
      </c>
      <c r="V38" s="103"/>
      <c r="W38" s="113"/>
      <c r="X38" s="36" t="s">
        <v>118</v>
      </c>
      <c r="Y38" s="108"/>
      <c r="Z38" s="108" t="str">
        <f aca="false">IF(ISBLANK(W38),"",W38*Y38)</f>
        <v/>
      </c>
      <c r="AA38" s="103"/>
      <c r="AB38" s="113"/>
      <c r="AC38" s="36" t="s">
        <v>118</v>
      </c>
      <c r="AD38" s="108"/>
      <c r="AE38" s="108" t="str">
        <f aca="false">IF(ISBLANK(AB38),"",AB38*AD38)</f>
        <v/>
      </c>
      <c r="AF38" s="103"/>
      <c r="AG38" s="113"/>
      <c r="AH38" s="36" t="s">
        <v>118</v>
      </c>
      <c r="AI38" s="108"/>
      <c r="AJ38" s="108" t="str">
        <f aca="false">IF(ISBLANK(AG38),"",AG38*AI38)</f>
        <v/>
      </c>
      <c r="AK38" s="103"/>
      <c r="AL38" s="113"/>
      <c r="AM38" s="36" t="s">
        <v>118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507</v>
      </c>
      <c r="C40" s="113" t="n">
        <v>17</v>
      </c>
      <c r="D40" s="36" t="s">
        <v>118</v>
      </c>
      <c r="E40" s="108" t="n">
        <v>500</v>
      </c>
      <c r="F40" s="108" t="n">
        <f aca="false">IF(ISBLANK(C40),"",C40*E40)</f>
        <v>8500</v>
      </c>
      <c r="G40" s="103"/>
      <c r="H40" s="113" t="n">
        <v>17</v>
      </c>
      <c r="I40" s="36" t="s">
        <v>118</v>
      </c>
      <c r="J40" s="108" t="n">
        <v>500</v>
      </c>
      <c r="K40" s="108" t="n">
        <f aca="false">IF(ISBLANK(H40),"",H40*J40)</f>
        <v>8500</v>
      </c>
      <c r="L40" s="103"/>
      <c r="M40" s="113" t="n">
        <v>17</v>
      </c>
      <c r="N40" s="36" t="s">
        <v>118</v>
      </c>
      <c r="O40" s="108" t="n">
        <v>500</v>
      </c>
      <c r="P40" s="108" t="n">
        <f aca="false">IF(ISBLANK(M40),"",M40*O40)</f>
        <v>8500</v>
      </c>
      <c r="Q40" s="103"/>
      <c r="R40" s="113" t="n">
        <v>17</v>
      </c>
      <c r="S40" s="36" t="s">
        <v>118</v>
      </c>
      <c r="T40" s="108" t="n">
        <v>500</v>
      </c>
      <c r="U40" s="108" t="n">
        <f aca="false">IF(ISBLANK(R40),"",R40*T40)</f>
        <v>8500</v>
      </c>
      <c r="V40" s="103"/>
      <c r="W40" s="113"/>
      <c r="X40" s="36" t="s">
        <v>118</v>
      </c>
      <c r="Y40" s="108"/>
      <c r="Z40" s="108" t="str">
        <f aca="false">IF(ISBLANK(W40),"",W40*Y40)</f>
        <v/>
      </c>
      <c r="AA40" s="103"/>
      <c r="AB40" s="113"/>
      <c r="AC40" s="36" t="s">
        <v>118</v>
      </c>
      <c r="AD40" s="108"/>
      <c r="AE40" s="108" t="str">
        <f aca="false">IF(ISBLANK(AB40),"",AB40*AD40)</f>
        <v/>
      </c>
      <c r="AF40" s="103"/>
      <c r="AG40" s="113"/>
      <c r="AH40" s="36" t="s">
        <v>118</v>
      </c>
      <c r="AI40" s="108"/>
      <c r="AJ40" s="108" t="str">
        <f aca="false">IF(ISBLANK(AG40),"",AG40*AI40)</f>
        <v/>
      </c>
      <c r="AK40" s="103"/>
      <c r="AL40" s="113"/>
      <c r="AM40" s="36" t="s">
        <v>118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508</v>
      </c>
      <c r="C42" s="113" t="n">
        <v>10</v>
      </c>
      <c r="D42" s="36" t="s">
        <v>118</v>
      </c>
      <c r="E42" s="108" t="n">
        <v>45</v>
      </c>
      <c r="F42" s="108" t="n">
        <f aca="false">IF(ISBLANK(C42),"",C42*E42)</f>
        <v>450</v>
      </c>
      <c r="G42" s="103"/>
      <c r="H42" s="113" t="n">
        <v>10</v>
      </c>
      <c r="I42" s="36" t="s">
        <v>118</v>
      </c>
      <c r="J42" s="108" t="n">
        <v>45</v>
      </c>
      <c r="K42" s="108" t="n">
        <f aca="false">IF(ISBLANK(H42),"",H42*J42)</f>
        <v>450</v>
      </c>
      <c r="L42" s="103"/>
      <c r="M42" s="113" t="n">
        <v>10</v>
      </c>
      <c r="N42" s="36" t="s">
        <v>118</v>
      </c>
      <c r="O42" s="108" t="n">
        <v>45</v>
      </c>
      <c r="P42" s="108" t="n">
        <f aca="false">IF(ISBLANK(M42),"",M42*O42)</f>
        <v>450</v>
      </c>
      <c r="Q42" s="103"/>
      <c r="R42" s="113" t="n">
        <v>10</v>
      </c>
      <c r="S42" s="36" t="s">
        <v>118</v>
      </c>
      <c r="T42" s="108" t="n">
        <v>45</v>
      </c>
      <c r="U42" s="108" t="n">
        <f aca="false">IF(ISBLANK(R42),"",R42*T42)</f>
        <v>450</v>
      </c>
      <c r="V42" s="103"/>
      <c r="W42" s="113"/>
      <c r="X42" s="36" t="s">
        <v>118</v>
      </c>
      <c r="Y42" s="108"/>
      <c r="Z42" s="108" t="str">
        <f aca="false">IF(ISBLANK(W42),"",W42*Y42)</f>
        <v/>
      </c>
      <c r="AA42" s="103"/>
      <c r="AB42" s="113"/>
      <c r="AC42" s="36" t="s">
        <v>118</v>
      </c>
      <c r="AD42" s="108"/>
      <c r="AE42" s="108" t="str">
        <f aca="false">IF(ISBLANK(AB42),"",AB42*AD42)</f>
        <v/>
      </c>
      <c r="AF42" s="103"/>
      <c r="AG42" s="113"/>
      <c r="AH42" s="36" t="s">
        <v>118</v>
      </c>
      <c r="AI42" s="108"/>
      <c r="AJ42" s="108" t="str">
        <f aca="false">IF(ISBLANK(AG42),"",AG42*AI42)</f>
        <v/>
      </c>
      <c r="AK42" s="103"/>
      <c r="AL42" s="113"/>
      <c r="AM42" s="36" t="s">
        <v>118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509</v>
      </c>
      <c r="C44" s="113" t="n">
        <v>750</v>
      </c>
      <c r="D44" s="36" t="s">
        <v>116</v>
      </c>
      <c r="E44" s="108" t="n">
        <v>20</v>
      </c>
      <c r="F44" s="108" t="n">
        <f aca="false">IF(ISBLANK(C44),"",C44*E44)</f>
        <v>15000</v>
      </c>
      <c r="G44" s="103"/>
      <c r="H44" s="113" t="n">
        <v>750</v>
      </c>
      <c r="I44" s="36" t="s">
        <v>116</v>
      </c>
      <c r="J44" s="108" t="n">
        <v>20</v>
      </c>
      <c r="K44" s="108" t="n">
        <f aca="false">IF(ISBLANK(H44),"",H44*J44)</f>
        <v>15000</v>
      </c>
      <c r="L44" s="103"/>
      <c r="M44" s="113" t="n">
        <v>750</v>
      </c>
      <c r="N44" s="36" t="s">
        <v>116</v>
      </c>
      <c r="O44" s="108" t="n">
        <v>20</v>
      </c>
      <c r="P44" s="108" t="n">
        <f aca="false">IF(ISBLANK(M44),"",M44*O44)</f>
        <v>15000</v>
      </c>
      <c r="Q44" s="103"/>
      <c r="R44" s="113" t="n">
        <v>750</v>
      </c>
      <c r="S44" s="36" t="s">
        <v>116</v>
      </c>
      <c r="T44" s="108" t="n">
        <v>20</v>
      </c>
      <c r="U44" s="108" t="n">
        <f aca="false">IF(ISBLANK(R44),"",R44*T44)</f>
        <v>15000</v>
      </c>
      <c r="V44" s="103"/>
      <c r="W44" s="113"/>
      <c r="X44" s="36" t="s">
        <v>116</v>
      </c>
      <c r="Y44" s="108"/>
      <c r="Z44" s="108" t="str">
        <f aca="false">IF(ISBLANK(W44),"",W44*Y44)</f>
        <v/>
      </c>
      <c r="AA44" s="103"/>
      <c r="AB44" s="113"/>
      <c r="AC44" s="36" t="s">
        <v>116</v>
      </c>
      <c r="AD44" s="108"/>
      <c r="AE44" s="108" t="str">
        <f aca="false">IF(ISBLANK(AB44),"",AB44*AD44)</f>
        <v/>
      </c>
      <c r="AF44" s="103"/>
      <c r="AG44" s="113"/>
      <c r="AH44" s="36" t="s">
        <v>116</v>
      </c>
      <c r="AI44" s="108"/>
      <c r="AJ44" s="108" t="str">
        <f aca="false">IF(ISBLANK(AG44),"",AG44*AI44)</f>
        <v/>
      </c>
      <c r="AK44" s="103"/>
      <c r="AL44" s="113"/>
      <c r="AM44" s="36" t="s">
        <v>116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510</v>
      </c>
      <c r="C46" s="113" t="n">
        <v>1</v>
      </c>
      <c r="D46" s="36" t="s">
        <v>209</v>
      </c>
      <c r="E46" s="108" t="n">
        <v>5000</v>
      </c>
      <c r="F46" s="108" t="n">
        <f aca="false">IF(ISBLANK(C46),"",C46*E46)</f>
        <v>5000</v>
      </c>
      <c r="G46" s="103"/>
      <c r="H46" s="113" t="n">
        <v>1</v>
      </c>
      <c r="I46" s="36" t="s">
        <v>209</v>
      </c>
      <c r="J46" s="108" t="n">
        <v>5000</v>
      </c>
      <c r="K46" s="108" t="n">
        <f aca="false">IF(ISBLANK(H46),"",H46*J46)</f>
        <v>5000</v>
      </c>
      <c r="L46" s="103"/>
      <c r="M46" s="113" t="n">
        <v>1</v>
      </c>
      <c r="N46" s="36" t="s">
        <v>209</v>
      </c>
      <c r="O46" s="108" t="n">
        <v>5000</v>
      </c>
      <c r="P46" s="108" t="n">
        <f aca="false">IF(ISBLANK(M46),"",M46*O46)</f>
        <v>5000</v>
      </c>
      <c r="Q46" s="103"/>
      <c r="R46" s="113" t="n">
        <v>1</v>
      </c>
      <c r="S46" s="36" t="s">
        <v>209</v>
      </c>
      <c r="T46" s="108" t="n">
        <v>5000</v>
      </c>
      <c r="U46" s="108" t="n">
        <f aca="false">IF(ISBLANK(R46),"",R46*T46)</f>
        <v>5000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67365</v>
      </c>
      <c r="G54" s="103"/>
      <c r="H54" s="98"/>
      <c r="I54" s="98"/>
      <c r="J54" s="117" t="s">
        <v>177</v>
      </c>
      <c r="K54" s="117" t="n">
        <f aca="false">SUM(K5:K53)</f>
        <v>67365</v>
      </c>
      <c r="L54" s="103"/>
      <c r="M54" s="98"/>
      <c r="N54" s="98"/>
      <c r="O54" s="117" t="s">
        <v>177</v>
      </c>
      <c r="P54" s="117" t="n">
        <f aca="false">SUM(P5:P53)</f>
        <v>67365</v>
      </c>
      <c r="Q54" s="103"/>
      <c r="R54" s="98"/>
      <c r="S54" s="98"/>
      <c r="T54" s="117" t="s">
        <v>177</v>
      </c>
      <c r="U54" s="117" t="n">
        <f aca="false">SUM(U5:U53)</f>
        <v>67365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5.1 Sanitary installations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5.1 Sanitary installations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511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500</v>
      </c>
      <c r="K8" s="108" t="n">
        <f aca="false">IF(ISBLANK(H8),"",H8*J8)</f>
        <v>500</v>
      </c>
      <c r="L8" s="103"/>
      <c r="M8" s="113" t="n">
        <v>1</v>
      </c>
      <c r="N8" s="36" t="s">
        <v>209</v>
      </c>
      <c r="O8" s="108" t="n">
        <v>500</v>
      </c>
      <c r="P8" s="108" t="n">
        <f aca="false">IF(ISBLANK(M8),"",M8*O8)</f>
        <v>500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512</v>
      </c>
      <c r="C10" s="113" t="n">
        <v>1</v>
      </c>
      <c r="D10" s="36" t="s">
        <v>209</v>
      </c>
      <c r="E10" s="108" t="n">
        <v>500</v>
      </c>
      <c r="F10" s="108" t="n">
        <f aca="false">IF(ISBLANK(C10),"",C10*E10)</f>
        <v>500</v>
      </c>
      <c r="G10" s="103"/>
      <c r="H10" s="113" t="n">
        <v>1</v>
      </c>
      <c r="I10" s="36" t="s">
        <v>209</v>
      </c>
      <c r="J10" s="108" t="n">
        <v>500</v>
      </c>
      <c r="K10" s="108" t="n">
        <f aca="false">IF(ISBLANK(H10),"",H10*J10)</f>
        <v>500</v>
      </c>
      <c r="L10" s="103"/>
      <c r="M10" s="113" t="n">
        <v>1</v>
      </c>
      <c r="N10" s="36" t="s">
        <v>209</v>
      </c>
      <c r="O10" s="108" t="n">
        <v>500</v>
      </c>
      <c r="P10" s="108" t="n">
        <f aca="false">IF(ISBLANK(M10),"",M10*O10)</f>
        <v>500</v>
      </c>
      <c r="Q10" s="103"/>
      <c r="R10" s="113" t="n">
        <v>1</v>
      </c>
      <c r="S10" s="36" t="s">
        <v>209</v>
      </c>
      <c r="T10" s="108" t="n">
        <v>500</v>
      </c>
      <c r="U10" s="108" t="n">
        <f aca="false">IF(ISBLANK(R10),"",R10*T10)</f>
        <v>500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513</v>
      </c>
      <c r="C12" s="113" t="n">
        <v>1</v>
      </c>
      <c r="D12" s="36" t="s">
        <v>209</v>
      </c>
      <c r="E12" s="108" t="n">
        <v>500</v>
      </c>
      <c r="F12" s="108" t="n">
        <f aca="false">IF(ISBLANK(C12),"",C12*E12)</f>
        <v>500</v>
      </c>
      <c r="G12" s="103"/>
      <c r="H12" s="113" t="n">
        <v>1</v>
      </c>
      <c r="I12" s="36" t="s">
        <v>209</v>
      </c>
      <c r="J12" s="108" t="n">
        <v>500</v>
      </c>
      <c r="K12" s="108" t="n">
        <f aca="false">IF(ISBLANK(H12),"",H12*J12)</f>
        <v>500</v>
      </c>
      <c r="L12" s="103"/>
      <c r="M12" s="113" t="n">
        <v>1</v>
      </c>
      <c r="N12" s="36" t="s">
        <v>209</v>
      </c>
      <c r="O12" s="108" t="n">
        <v>500</v>
      </c>
      <c r="P12" s="108" t="n">
        <f aca="false">IF(ISBLANK(M12),"",M12*O12)</f>
        <v>500</v>
      </c>
      <c r="Q12" s="103"/>
      <c r="R12" s="113" t="n">
        <v>1</v>
      </c>
      <c r="S12" s="36" t="s">
        <v>209</v>
      </c>
      <c r="T12" s="108" t="n">
        <v>500</v>
      </c>
      <c r="U12" s="108" t="n">
        <f aca="false">IF(ISBLANK(R12),"",R12*T12)</f>
        <v>500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514</v>
      </c>
      <c r="C14" s="113" t="n">
        <v>10</v>
      </c>
      <c r="D14" s="36" t="s">
        <v>118</v>
      </c>
      <c r="E14" s="108" t="n">
        <v>150</v>
      </c>
      <c r="F14" s="108" t="n">
        <f aca="false">IF(ISBLANK(C14),"",C14*E14)</f>
        <v>1500</v>
      </c>
      <c r="G14" s="103"/>
      <c r="H14" s="113" t="n">
        <v>10</v>
      </c>
      <c r="I14" s="36" t="s">
        <v>118</v>
      </c>
      <c r="J14" s="108" t="n">
        <v>150</v>
      </c>
      <c r="K14" s="108" t="n">
        <f aca="false">IF(ISBLANK(H14),"",H14*J14)</f>
        <v>1500</v>
      </c>
      <c r="L14" s="103"/>
      <c r="M14" s="113" t="n">
        <v>10</v>
      </c>
      <c r="N14" s="36" t="s">
        <v>118</v>
      </c>
      <c r="O14" s="108" t="n">
        <v>150</v>
      </c>
      <c r="P14" s="108" t="n">
        <f aca="false">IF(ISBLANK(M14),"",M14*O14)</f>
        <v>1500</v>
      </c>
      <c r="Q14" s="103"/>
      <c r="R14" s="113" t="n">
        <v>10</v>
      </c>
      <c r="S14" s="36" t="s">
        <v>118</v>
      </c>
      <c r="T14" s="108" t="n">
        <v>150</v>
      </c>
      <c r="U14" s="108" t="n">
        <f aca="false">IF(ISBLANK(R14),"",R14*T14)</f>
        <v>1500</v>
      </c>
      <c r="V14" s="103"/>
      <c r="W14" s="113"/>
      <c r="X14" s="36" t="s">
        <v>118</v>
      </c>
      <c r="Y14" s="108"/>
      <c r="Z14" s="108" t="str">
        <f aca="false">IF(ISBLANK(W14),"",W14*Y14)</f>
        <v/>
      </c>
      <c r="AA14" s="103"/>
      <c r="AB14" s="113"/>
      <c r="AC14" s="36" t="s">
        <v>118</v>
      </c>
      <c r="AD14" s="108"/>
      <c r="AE14" s="108" t="str">
        <f aca="false">IF(ISBLANK(AB14),"",AB14*AD14)</f>
        <v/>
      </c>
      <c r="AF14" s="103"/>
      <c r="AG14" s="113"/>
      <c r="AH14" s="36" t="s">
        <v>118</v>
      </c>
      <c r="AI14" s="108"/>
      <c r="AJ14" s="108" t="str">
        <f aca="false">IF(ISBLANK(AG14),"",AG14*AI14)</f>
        <v/>
      </c>
      <c r="AK14" s="103"/>
      <c r="AL14" s="113"/>
      <c r="AM14" s="36" t="s">
        <v>118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515</v>
      </c>
      <c r="C16" s="113" t="n">
        <v>10</v>
      </c>
      <c r="D16" s="36" t="s">
        <v>118</v>
      </c>
      <c r="E16" s="108" t="n">
        <v>95</v>
      </c>
      <c r="F16" s="108" t="n">
        <f aca="false">IF(ISBLANK(C16),"",C16*E16)</f>
        <v>950</v>
      </c>
      <c r="G16" s="103"/>
      <c r="H16" s="113" t="n">
        <v>10</v>
      </c>
      <c r="I16" s="36" t="s">
        <v>118</v>
      </c>
      <c r="J16" s="108" t="n">
        <v>95</v>
      </c>
      <c r="K16" s="108" t="n">
        <f aca="false">IF(ISBLANK(H16),"",H16*J16)</f>
        <v>950</v>
      </c>
      <c r="L16" s="103"/>
      <c r="M16" s="113" t="n">
        <v>10</v>
      </c>
      <c r="N16" s="36" t="s">
        <v>118</v>
      </c>
      <c r="O16" s="108" t="n">
        <v>95</v>
      </c>
      <c r="P16" s="108" t="n">
        <f aca="false">IF(ISBLANK(M16),"",M16*O16)</f>
        <v>950</v>
      </c>
      <c r="Q16" s="103"/>
      <c r="R16" s="113" t="n">
        <v>10</v>
      </c>
      <c r="S16" s="36" t="s">
        <v>118</v>
      </c>
      <c r="T16" s="108" t="n">
        <v>95</v>
      </c>
      <c r="U16" s="108" t="n">
        <f aca="false">IF(ISBLANK(R16),"",R16*T16)</f>
        <v>950</v>
      </c>
      <c r="V16" s="103"/>
      <c r="W16" s="113"/>
      <c r="X16" s="36" t="s">
        <v>118</v>
      </c>
      <c r="Y16" s="108"/>
      <c r="Z16" s="108" t="str">
        <f aca="false">IF(ISBLANK(W16),"",W16*Y16)</f>
        <v/>
      </c>
      <c r="AA16" s="103"/>
      <c r="AB16" s="113"/>
      <c r="AC16" s="36" t="s">
        <v>118</v>
      </c>
      <c r="AD16" s="108"/>
      <c r="AE16" s="108" t="str">
        <f aca="false">IF(ISBLANK(AB16),"",AB16*AD16)</f>
        <v/>
      </c>
      <c r="AF16" s="103"/>
      <c r="AG16" s="113"/>
      <c r="AH16" s="36" t="s">
        <v>118</v>
      </c>
      <c r="AI16" s="108"/>
      <c r="AJ16" s="108" t="str">
        <f aca="false">IF(ISBLANK(AG16),"",AG16*AI16)</f>
        <v/>
      </c>
      <c r="AK16" s="103"/>
      <c r="AL16" s="113"/>
      <c r="AM16" s="36" t="s">
        <v>118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516</v>
      </c>
      <c r="C18" s="113" t="n">
        <v>10</v>
      </c>
      <c r="D18" s="36" t="s">
        <v>118</v>
      </c>
      <c r="E18" s="108" t="n">
        <v>125</v>
      </c>
      <c r="F18" s="108" t="n">
        <f aca="false">IF(ISBLANK(C18),"",C18*E18)</f>
        <v>1250</v>
      </c>
      <c r="G18" s="103"/>
      <c r="H18" s="113" t="n">
        <v>10</v>
      </c>
      <c r="I18" s="36" t="s">
        <v>118</v>
      </c>
      <c r="J18" s="108" t="n">
        <v>125</v>
      </c>
      <c r="K18" s="108" t="n">
        <f aca="false">IF(ISBLANK(H18),"",H18*J18)</f>
        <v>1250</v>
      </c>
      <c r="L18" s="103"/>
      <c r="M18" s="113" t="n">
        <v>10</v>
      </c>
      <c r="N18" s="36" t="s">
        <v>118</v>
      </c>
      <c r="O18" s="108" t="n">
        <v>125</v>
      </c>
      <c r="P18" s="108" t="n">
        <f aca="false">IF(ISBLANK(M18),"",M18*O18)</f>
        <v>1250</v>
      </c>
      <c r="Q18" s="103"/>
      <c r="R18" s="113" t="n">
        <v>10</v>
      </c>
      <c r="S18" s="36" t="s">
        <v>118</v>
      </c>
      <c r="T18" s="108" t="n">
        <v>125</v>
      </c>
      <c r="U18" s="108" t="n">
        <f aca="false">IF(ISBLANK(R18),"",R18*T18)</f>
        <v>1250</v>
      </c>
      <c r="V18" s="103"/>
      <c r="W18" s="113"/>
      <c r="X18" s="36" t="s">
        <v>118</v>
      </c>
      <c r="Y18" s="108"/>
      <c r="Z18" s="108" t="str">
        <f aca="false">IF(ISBLANK(W18),"",W18*Y18)</f>
        <v/>
      </c>
      <c r="AA18" s="103"/>
      <c r="AB18" s="113"/>
      <c r="AC18" s="36" t="s">
        <v>118</v>
      </c>
      <c r="AD18" s="108"/>
      <c r="AE18" s="108" t="str">
        <f aca="false">IF(ISBLANK(AB18),"",AB18*AD18)</f>
        <v/>
      </c>
      <c r="AF18" s="103"/>
      <c r="AG18" s="113"/>
      <c r="AH18" s="36" t="s">
        <v>118</v>
      </c>
      <c r="AI18" s="108"/>
      <c r="AJ18" s="108" t="str">
        <f aca="false">IF(ISBLANK(AG18),"",AG18*AI18)</f>
        <v/>
      </c>
      <c r="AK18" s="103"/>
      <c r="AL18" s="113"/>
      <c r="AM18" s="36" t="s">
        <v>118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517</v>
      </c>
      <c r="C20" s="113" t="n">
        <v>10</v>
      </c>
      <c r="D20" s="36" t="s">
        <v>118</v>
      </c>
      <c r="E20" s="108" t="n">
        <v>64</v>
      </c>
      <c r="F20" s="108" t="n">
        <f aca="false">IF(ISBLANK(C20),"",C20*E20)</f>
        <v>640</v>
      </c>
      <c r="G20" s="103"/>
      <c r="H20" s="113" t="n">
        <v>10</v>
      </c>
      <c r="I20" s="36" t="s">
        <v>118</v>
      </c>
      <c r="J20" s="108" t="n">
        <v>64</v>
      </c>
      <c r="K20" s="108" t="n">
        <f aca="false">IF(ISBLANK(H20),"",H20*J20)</f>
        <v>640</v>
      </c>
      <c r="L20" s="103"/>
      <c r="M20" s="113" t="n">
        <v>10</v>
      </c>
      <c r="N20" s="36" t="s">
        <v>118</v>
      </c>
      <c r="O20" s="108" t="n">
        <v>64</v>
      </c>
      <c r="P20" s="108" t="n">
        <f aca="false">IF(ISBLANK(M20),"",M20*O20)</f>
        <v>640</v>
      </c>
      <c r="Q20" s="103"/>
      <c r="R20" s="113" t="n">
        <v>10</v>
      </c>
      <c r="S20" s="36" t="s">
        <v>118</v>
      </c>
      <c r="T20" s="108" t="n">
        <v>64</v>
      </c>
      <c r="U20" s="108" t="n">
        <f aca="false">IF(ISBLANK(R20),"",R20*T20)</f>
        <v>640</v>
      </c>
      <c r="V20" s="103"/>
      <c r="W20" s="113"/>
      <c r="X20" s="36" t="s">
        <v>118</v>
      </c>
      <c r="Y20" s="108"/>
      <c r="Z20" s="108" t="str">
        <f aca="false">IF(ISBLANK(W20),"",W20*Y20)</f>
        <v/>
      </c>
      <c r="AA20" s="103"/>
      <c r="AB20" s="113"/>
      <c r="AC20" s="36" t="s">
        <v>118</v>
      </c>
      <c r="AD20" s="108"/>
      <c r="AE20" s="108" t="str">
        <f aca="false">IF(ISBLANK(AB20),"",AB20*AD20)</f>
        <v/>
      </c>
      <c r="AF20" s="103"/>
      <c r="AG20" s="113"/>
      <c r="AH20" s="36" t="s">
        <v>118</v>
      </c>
      <c r="AI20" s="108"/>
      <c r="AJ20" s="108" t="str">
        <f aca="false">IF(ISBLANK(AG20),"",AG20*AI20)</f>
        <v/>
      </c>
      <c r="AK20" s="103"/>
      <c r="AL20" s="113"/>
      <c r="AM20" s="36" t="s">
        <v>118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518</v>
      </c>
      <c r="C22" s="113" t="n">
        <v>10</v>
      </c>
      <c r="D22" s="36" t="s">
        <v>118</v>
      </c>
      <c r="E22" s="108" t="n">
        <v>359</v>
      </c>
      <c r="F22" s="108" t="n">
        <f aca="false">IF(ISBLANK(C22),"",C22*E22)</f>
        <v>3590</v>
      </c>
      <c r="G22" s="103"/>
      <c r="H22" s="113" t="n">
        <v>10</v>
      </c>
      <c r="I22" s="36" t="s">
        <v>118</v>
      </c>
      <c r="J22" s="108" t="n">
        <v>359</v>
      </c>
      <c r="K22" s="108" t="n">
        <f aca="false">IF(ISBLANK(H22),"",H22*J22)</f>
        <v>3590</v>
      </c>
      <c r="L22" s="103"/>
      <c r="M22" s="113" t="n">
        <v>10</v>
      </c>
      <c r="N22" s="36" t="s">
        <v>118</v>
      </c>
      <c r="O22" s="108" t="n">
        <v>359</v>
      </c>
      <c r="P22" s="108" t="n">
        <f aca="false">IF(ISBLANK(M22),"",M22*O22)</f>
        <v>3590</v>
      </c>
      <c r="Q22" s="103"/>
      <c r="R22" s="113" t="n">
        <v>10</v>
      </c>
      <c r="S22" s="36" t="s">
        <v>118</v>
      </c>
      <c r="T22" s="108" t="n">
        <v>359</v>
      </c>
      <c r="U22" s="108" t="n">
        <f aca="false">IF(ISBLANK(R22),"",R22*T22)</f>
        <v>3590</v>
      </c>
      <c r="V22" s="103"/>
      <c r="W22" s="113"/>
      <c r="X22" s="36" t="s">
        <v>118</v>
      </c>
      <c r="Y22" s="108"/>
      <c r="Z22" s="108" t="str">
        <f aca="false">IF(ISBLANK(W22),"",W22*Y22)</f>
        <v/>
      </c>
      <c r="AA22" s="103"/>
      <c r="AB22" s="113"/>
      <c r="AC22" s="36" t="s">
        <v>118</v>
      </c>
      <c r="AD22" s="108"/>
      <c r="AE22" s="108" t="str">
        <f aca="false">IF(ISBLANK(AB22),"",AB22*AD22)</f>
        <v/>
      </c>
      <c r="AF22" s="103"/>
      <c r="AG22" s="113"/>
      <c r="AH22" s="36" t="s">
        <v>118</v>
      </c>
      <c r="AI22" s="108"/>
      <c r="AJ22" s="108" t="str">
        <f aca="false">IF(ISBLANK(AG22),"",AG22*AI22)</f>
        <v/>
      </c>
      <c r="AK22" s="103"/>
      <c r="AL22" s="113"/>
      <c r="AM22" s="36" t="s">
        <v>118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519</v>
      </c>
      <c r="C24" s="113" t="n">
        <v>10</v>
      </c>
      <c r="D24" s="36" t="s">
        <v>118</v>
      </c>
      <c r="E24" s="108" t="n">
        <v>259</v>
      </c>
      <c r="F24" s="108" t="n">
        <f aca="false">IF(ISBLANK(C24),"",C24*E24)</f>
        <v>2590</v>
      </c>
      <c r="G24" s="103"/>
      <c r="H24" s="113" t="n">
        <v>10</v>
      </c>
      <c r="I24" s="36" t="s">
        <v>118</v>
      </c>
      <c r="J24" s="108" t="n">
        <v>259</v>
      </c>
      <c r="K24" s="108" t="n">
        <f aca="false">IF(ISBLANK(H24),"",H24*J24)</f>
        <v>2590</v>
      </c>
      <c r="L24" s="103"/>
      <c r="M24" s="113" t="n">
        <v>10</v>
      </c>
      <c r="N24" s="36" t="s">
        <v>118</v>
      </c>
      <c r="O24" s="108" t="n">
        <v>259</v>
      </c>
      <c r="P24" s="108" t="n">
        <f aca="false">IF(ISBLANK(M24),"",M24*O24)</f>
        <v>2590</v>
      </c>
      <c r="Q24" s="103"/>
      <c r="R24" s="113" t="n">
        <v>10</v>
      </c>
      <c r="S24" s="36" t="s">
        <v>118</v>
      </c>
      <c r="T24" s="108" t="n">
        <v>259</v>
      </c>
      <c r="U24" s="108" t="n">
        <f aca="false">IF(ISBLANK(R24),"",R24*T24)</f>
        <v>2590</v>
      </c>
      <c r="V24" s="103"/>
      <c r="W24" s="113"/>
      <c r="X24" s="36" t="s">
        <v>118</v>
      </c>
      <c r="Y24" s="108"/>
      <c r="Z24" s="108" t="str">
        <f aca="false">IF(ISBLANK(W24),"",W24*Y24)</f>
        <v/>
      </c>
      <c r="AA24" s="103"/>
      <c r="AB24" s="113"/>
      <c r="AC24" s="36" t="s">
        <v>118</v>
      </c>
      <c r="AD24" s="108"/>
      <c r="AE24" s="108" t="str">
        <f aca="false">IF(ISBLANK(AB24),"",AB24*AD24)</f>
        <v/>
      </c>
      <c r="AF24" s="103"/>
      <c r="AG24" s="113"/>
      <c r="AH24" s="36" t="s">
        <v>118</v>
      </c>
      <c r="AI24" s="108"/>
      <c r="AJ24" s="108" t="str">
        <f aca="false">IF(ISBLANK(AG24),"",AG24*AI24)</f>
        <v/>
      </c>
      <c r="AK24" s="103"/>
      <c r="AL24" s="113"/>
      <c r="AM24" s="36" t="s">
        <v>118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520</v>
      </c>
      <c r="C26" s="113" t="n">
        <v>10</v>
      </c>
      <c r="D26" s="36" t="s">
        <v>118</v>
      </c>
      <c r="E26" s="108" t="n">
        <v>399</v>
      </c>
      <c r="F26" s="108" t="n">
        <f aca="false">IF(ISBLANK(C26),"",C26*E26)</f>
        <v>3990</v>
      </c>
      <c r="G26" s="103"/>
      <c r="H26" s="113" t="n">
        <v>10</v>
      </c>
      <c r="I26" s="36" t="s">
        <v>118</v>
      </c>
      <c r="J26" s="108" t="n">
        <v>399</v>
      </c>
      <c r="K26" s="108" t="n">
        <f aca="false">IF(ISBLANK(H26),"",H26*J26)</f>
        <v>3990</v>
      </c>
      <c r="L26" s="103"/>
      <c r="M26" s="113" t="n">
        <v>10</v>
      </c>
      <c r="N26" s="36" t="s">
        <v>118</v>
      </c>
      <c r="O26" s="108" t="n">
        <v>399</v>
      </c>
      <c r="P26" s="108" t="n">
        <f aca="false">IF(ISBLANK(M26),"",M26*O26)</f>
        <v>3990</v>
      </c>
      <c r="Q26" s="103"/>
      <c r="R26" s="113" t="n">
        <v>10</v>
      </c>
      <c r="S26" s="36" t="s">
        <v>118</v>
      </c>
      <c r="T26" s="108" t="n">
        <v>399</v>
      </c>
      <c r="U26" s="108" t="n">
        <f aca="false">IF(ISBLANK(R26),"",R26*T26)</f>
        <v>3990</v>
      </c>
      <c r="V26" s="103"/>
      <c r="W26" s="113"/>
      <c r="X26" s="36" t="s">
        <v>118</v>
      </c>
      <c r="Y26" s="108"/>
      <c r="Z26" s="108" t="str">
        <f aca="false">IF(ISBLANK(W26),"",W26*Y26)</f>
        <v/>
      </c>
      <c r="AA26" s="103"/>
      <c r="AB26" s="113"/>
      <c r="AC26" s="36" t="s">
        <v>118</v>
      </c>
      <c r="AD26" s="108"/>
      <c r="AE26" s="108" t="str">
        <f aca="false">IF(ISBLANK(AB26),"",AB26*AD26)</f>
        <v/>
      </c>
      <c r="AF26" s="103"/>
      <c r="AG26" s="113"/>
      <c r="AH26" s="36" t="s">
        <v>118</v>
      </c>
      <c r="AI26" s="108"/>
      <c r="AJ26" s="108" t="str">
        <f aca="false">IF(ISBLANK(AG26),"",AG26*AI26)</f>
        <v/>
      </c>
      <c r="AK26" s="103"/>
      <c r="AL26" s="113"/>
      <c r="AM26" s="36" t="s">
        <v>118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521</v>
      </c>
      <c r="C28" s="113" t="n">
        <v>10</v>
      </c>
      <c r="D28" s="36" t="s">
        <v>118</v>
      </c>
      <c r="E28" s="108" t="n">
        <v>459</v>
      </c>
      <c r="F28" s="108" t="n">
        <f aca="false">IF(ISBLANK(C28),"",C28*E28)</f>
        <v>4590</v>
      </c>
      <c r="G28" s="103"/>
      <c r="H28" s="113" t="n">
        <v>10</v>
      </c>
      <c r="I28" s="36" t="s">
        <v>118</v>
      </c>
      <c r="J28" s="108" t="n">
        <v>459</v>
      </c>
      <c r="K28" s="108" t="n">
        <f aca="false">IF(ISBLANK(H28),"",H28*J28)</f>
        <v>4590</v>
      </c>
      <c r="L28" s="103"/>
      <c r="M28" s="113" t="n">
        <v>10</v>
      </c>
      <c r="N28" s="36" t="s">
        <v>118</v>
      </c>
      <c r="O28" s="108" t="n">
        <v>459</v>
      </c>
      <c r="P28" s="108" t="n">
        <f aca="false">IF(ISBLANK(M28),"",M28*O28)</f>
        <v>4590</v>
      </c>
      <c r="Q28" s="103"/>
      <c r="R28" s="113" t="n">
        <v>10</v>
      </c>
      <c r="S28" s="36" t="s">
        <v>118</v>
      </c>
      <c r="T28" s="108" t="n">
        <v>459</v>
      </c>
      <c r="U28" s="108" t="n">
        <f aca="false">IF(ISBLANK(R28),"",R28*T28)</f>
        <v>4590</v>
      </c>
      <c r="V28" s="103"/>
      <c r="W28" s="113"/>
      <c r="X28" s="36" t="s">
        <v>118</v>
      </c>
      <c r="Y28" s="108"/>
      <c r="Z28" s="108" t="str">
        <f aca="false">IF(ISBLANK(W28),"",W28*Y28)</f>
        <v/>
      </c>
      <c r="AA28" s="103"/>
      <c r="AB28" s="113"/>
      <c r="AC28" s="36" t="s">
        <v>118</v>
      </c>
      <c r="AD28" s="108"/>
      <c r="AE28" s="108" t="str">
        <f aca="false">IF(ISBLANK(AB28),"",AB28*AD28)</f>
        <v/>
      </c>
      <c r="AF28" s="103"/>
      <c r="AG28" s="113"/>
      <c r="AH28" s="36" t="s">
        <v>118</v>
      </c>
      <c r="AI28" s="108"/>
      <c r="AJ28" s="108" t="str">
        <f aca="false">IF(ISBLANK(AG28),"",AG28*AI28)</f>
        <v/>
      </c>
      <c r="AK28" s="103"/>
      <c r="AL28" s="113"/>
      <c r="AM28" s="36" t="s">
        <v>118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522</v>
      </c>
      <c r="C30" s="113" t="n">
        <v>10</v>
      </c>
      <c r="D30" s="36" t="s">
        <v>118</v>
      </c>
      <c r="E30" s="108" t="n">
        <v>229</v>
      </c>
      <c r="F30" s="108" t="n">
        <f aca="false">IF(ISBLANK(C30),"",C30*E30)</f>
        <v>2290</v>
      </c>
      <c r="G30" s="103"/>
      <c r="H30" s="113" t="n">
        <v>10</v>
      </c>
      <c r="I30" s="36" t="s">
        <v>118</v>
      </c>
      <c r="J30" s="108" t="n">
        <v>229</v>
      </c>
      <c r="K30" s="108" t="n">
        <f aca="false">IF(ISBLANK(H30),"",H30*J30)</f>
        <v>2290</v>
      </c>
      <c r="L30" s="103"/>
      <c r="M30" s="113" t="n">
        <v>10</v>
      </c>
      <c r="N30" s="36" t="s">
        <v>118</v>
      </c>
      <c r="O30" s="108" t="n">
        <v>229</v>
      </c>
      <c r="P30" s="108" t="n">
        <f aca="false">IF(ISBLANK(M30),"",M30*O30)</f>
        <v>2290</v>
      </c>
      <c r="Q30" s="103"/>
      <c r="R30" s="113" t="n">
        <v>10</v>
      </c>
      <c r="S30" s="36" t="s">
        <v>118</v>
      </c>
      <c r="T30" s="108" t="n">
        <v>229</v>
      </c>
      <c r="U30" s="108" t="n">
        <f aca="false">IF(ISBLANK(R30),"",R30*T30)</f>
        <v>2290</v>
      </c>
      <c r="V30" s="103"/>
      <c r="W30" s="113"/>
      <c r="X30" s="36" t="s">
        <v>118</v>
      </c>
      <c r="Y30" s="108"/>
      <c r="Z30" s="108" t="str">
        <f aca="false">IF(ISBLANK(W30),"",W30*Y30)</f>
        <v/>
      </c>
      <c r="AA30" s="103"/>
      <c r="AB30" s="113"/>
      <c r="AC30" s="36" t="s">
        <v>118</v>
      </c>
      <c r="AD30" s="108"/>
      <c r="AE30" s="108" t="str">
        <f aca="false">IF(ISBLANK(AB30),"",AB30*AD30)</f>
        <v/>
      </c>
      <c r="AF30" s="103"/>
      <c r="AG30" s="113"/>
      <c r="AH30" s="36" t="s">
        <v>118</v>
      </c>
      <c r="AI30" s="108"/>
      <c r="AJ30" s="108" t="str">
        <f aca="false">IF(ISBLANK(AG30),"",AG30*AI30)</f>
        <v/>
      </c>
      <c r="AK30" s="103"/>
      <c r="AL30" s="113"/>
      <c r="AM30" s="36" t="s">
        <v>118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523</v>
      </c>
      <c r="C32" s="113" t="n">
        <v>10</v>
      </c>
      <c r="D32" s="36" t="s">
        <v>118</v>
      </c>
      <c r="E32" s="108" t="n">
        <v>75</v>
      </c>
      <c r="F32" s="108" t="n">
        <f aca="false">IF(ISBLANK(C32),"",C32*E32)</f>
        <v>750</v>
      </c>
      <c r="G32" s="103"/>
      <c r="H32" s="113" t="n">
        <v>10</v>
      </c>
      <c r="I32" s="36" t="s">
        <v>118</v>
      </c>
      <c r="J32" s="108" t="n">
        <v>75</v>
      </c>
      <c r="K32" s="108" t="n">
        <f aca="false">IF(ISBLANK(H32),"",H32*J32)</f>
        <v>750</v>
      </c>
      <c r="L32" s="103"/>
      <c r="M32" s="113" t="n">
        <v>10</v>
      </c>
      <c r="N32" s="36" t="s">
        <v>118</v>
      </c>
      <c r="O32" s="108" t="n">
        <v>75</v>
      </c>
      <c r="P32" s="108" t="n">
        <f aca="false">IF(ISBLANK(M32),"",M32*O32)</f>
        <v>750</v>
      </c>
      <c r="Q32" s="103"/>
      <c r="R32" s="113" t="n">
        <v>10</v>
      </c>
      <c r="S32" s="36" t="s">
        <v>118</v>
      </c>
      <c r="T32" s="108" t="n">
        <v>75</v>
      </c>
      <c r="U32" s="108" t="n">
        <f aca="false">IF(ISBLANK(R32),"",R32*T32)</f>
        <v>750</v>
      </c>
      <c r="V32" s="103"/>
      <c r="W32" s="113"/>
      <c r="X32" s="36" t="s">
        <v>118</v>
      </c>
      <c r="Y32" s="108"/>
      <c r="Z32" s="108" t="str">
        <f aca="false">IF(ISBLANK(W32),"",W32*Y32)</f>
        <v/>
      </c>
      <c r="AA32" s="103"/>
      <c r="AB32" s="113"/>
      <c r="AC32" s="36" t="s">
        <v>118</v>
      </c>
      <c r="AD32" s="108"/>
      <c r="AE32" s="108" t="str">
        <f aca="false">IF(ISBLANK(AB32),"",AB32*AD32)</f>
        <v/>
      </c>
      <c r="AF32" s="103"/>
      <c r="AG32" s="113"/>
      <c r="AH32" s="36" t="s">
        <v>118</v>
      </c>
      <c r="AI32" s="108"/>
      <c r="AJ32" s="108" t="str">
        <f aca="false">IF(ISBLANK(AG32),"",AG32*AI32)</f>
        <v/>
      </c>
      <c r="AK32" s="103"/>
      <c r="AL32" s="113"/>
      <c r="AM32" s="36" t="s">
        <v>118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524</v>
      </c>
      <c r="C34" s="113" t="n">
        <v>10</v>
      </c>
      <c r="D34" s="36" t="s">
        <v>118</v>
      </c>
      <c r="E34" s="108" t="n">
        <v>59</v>
      </c>
      <c r="F34" s="108" t="n">
        <f aca="false">IF(ISBLANK(C34),"",C34*E34)</f>
        <v>590</v>
      </c>
      <c r="G34" s="103"/>
      <c r="H34" s="113" t="n">
        <v>10</v>
      </c>
      <c r="I34" s="36" t="s">
        <v>118</v>
      </c>
      <c r="J34" s="108" t="n">
        <v>59</v>
      </c>
      <c r="K34" s="108" t="n">
        <f aca="false">IF(ISBLANK(H34),"",H34*J34)</f>
        <v>590</v>
      </c>
      <c r="L34" s="103"/>
      <c r="M34" s="113" t="n">
        <v>10</v>
      </c>
      <c r="N34" s="36" t="s">
        <v>118</v>
      </c>
      <c r="O34" s="108" t="n">
        <v>59</v>
      </c>
      <c r="P34" s="108" t="n">
        <f aca="false">IF(ISBLANK(M34),"",M34*O34)</f>
        <v>590</v>
      </c>
      <c r="Q34" s="103"/>
      <c r="R34" s="113" t="n">
        <v>10</v>
      </c>
      <c r="S34" s="36" t="s">
        <v>118</v>
      </c>
      <c r="T34" s="108" t="n">
        <v>59</v>
      </c>
      <c r="U34" s="108" t="n">
        <f aca="false">IF(ISBLANK(R34),"",R34*T34)</f>
        <v>590</v>
      </c>
      <c r="V34" s="103"/>
      <c r="W34" s="113"/>
      <c r="X34" s="36" t="s">
        <v>118</v>
      </c>
      <c r="Y34" s="108"/>
      <c r="Z34" s="108" t="str">
        <f aca="false">IF(ISBLANK(W34),"",W34*Y34)</f>
        <v/>
      </c>
      <c r="AA34" s="103"/>
      <c r="AB34" s="113"/>
      <c r="AC34" s="36" t="s">
        <v>118</v>
      </c>
      <c r="AD34" s="108"/>
      <c r="AE34" s="108" t="str">
        <f aca="false">IF(ISBLANK(AB34),"",AB34*AD34)</f>
        <v/>
      </c>
      <c r="AF34" s="103"/>
      <c r="AG34" s="113"/>
      <c r="AH34" s="36" t="s">
        <v>118</v>
      </c>
      <c r="AI34" s="108"/>
      <c r="AJ34" s="108" t="str">
        <f aca="false">IF(ISBLANK(AG34),"",AG34*AI34)</f>
        <v/>
      </c>
      <c r="AK34" s="103"/>
      <c r="AL34" s="113"/>
      <c r="AM34" s="36" t="s">
        <v>118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525</v>
      </c>
      <c r="C36" s="113" t="n">
        <v>10</v>
      </c>
      <c r="D36" s="36" t="s">
        <v>118</v>
      </c>
      <c r="E36" s="108" t="n">
        <v>750</v>
      </c>
      <c r="F36" s="108" t="n">
        <f aca="false">IF(ISBLANK(C36),"",C36*E36)</f>
        <v>7500</v>
      </c>
      <c r="G36" s="103"/>
      <c r="H36" s="113" t="n">
        <v>10</v>
      </c>
      <c r="I36" s="36" t="s">
        <v>118</v>
      </c>
      <c r="J36" s="108" t="n">
        <v>750</v>
      </c>
      <c r="K36" s="108" t="n">
        <f aca="false">IF(ISBLANK(H36),"",H36*J36)</f>
        <v>7500</v>
      </c>
      <c r="L36" s="103"/>
      <c r="M36" s="113" t="n">
        <v>10</v>
      </c>
      <c r="N36" s="36" t="s">
        <v>118</v>
      </c>
      <c r="O36" s="108" t="n">
        <v>750</v>
      </c>
      <c r="P36" s="108" t="n">
        <f aca="false">IF(ISBLANK(M36),"",M36*O36)</f>
        <v>7500</v>
      </c>
      <c r="Q36" s="103"/>
      <c r="R36" s="113" t="n">
        <v>10</v>
      </c>
      <c r="S36" s="36" t="s">
        <v>118</v>
      </c>
      <c r="T36" s="108" t="n">
        <v>750</v>
      </c>
      <c r="U36" s="108" t="n">
        <f aca="false">IF(ISBLANK(R36),"",R36*T36)</f>
        <v>7500</v>
      </c>
      <c r="V36" s="103"/>
      <c r="W36" s="113"/>
      <c r="X36" s="36" t="s">
        <v>118</v>
      </c>
      <c r="Y36" s="108"/>
      <c r="Z36" s="108" t="str">
        <f aca="false">IF(ISBLANK(W36),"",W36*Y36)</f>
        <v/>
      </c>
      <c r="AA36" s="103"/>
      <c r="AB36" s="113"/>
      <c r="AC36" s="36" t="s">
        <v>118</v>
      </c>
      <c r="AD36" s="108"/>
      <c r="AE36" s="108" t="str">
        <f aca="false">IF(ISBLANK(AB36),"",AB36*AD36)</f>
        <v/>
      </c>
      <c r="AF36" s="103"/>
      <c r="AG36" s="113"/>
      <c r="AH36" s="36" t="s">
        <v>118</v>
      </c>
      <c r="AI36" s="108"/>
      <c r="AJ36" s="108" t="str">
        <f aca="false">IF(ISBLANK(AG36),"",AG36*AI36)</f>
        <v/>
      </c>
      <c r="AK36" s="103"/>
      <c r="AL36" s="113"/>
      <c r="AM36" s="36" t="s">
        <v>118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526</v>
      </c>
      <c r="C38" s="113" t="n">
        <v>10</v>
      </c>
      <c r="D38" s="36" t="s">
        <v>118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118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118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118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118</v>
      </c>
      <c r="Y38" s="108"/>
      <c r="Z38" s="108" t="str">
        <f aca="false">IF(ISBLANK(W38),"",W38*Y38)</f>
        <v/>
      </c>
      <c r="AA38" s="103"/>
      <c r="AB38" s="113"/>
      <c r="AC38" s="36" t="s">
        <v>118</v>
      </c>
      <c r="AD38" s="108"/>
      <c r="AE38" s="108" t="str">
        <f aca="false">IF(ISBLANK(AB38),"",AB38*AD38)</f>
        <v/>
      </c>
      <c r="AF38" s="103"/>
      <c r="AG38" s="113"/>
      <c r="AH38" s="36" t="s">
        <v>118</v>
      </c>
      <c r="AI38" s="108"/>
      <c r="AJ38" s="108" t="str">
        <f aca="false">IF(ISBLANK(AG38),"",AG38*AI38)</f>
        <v/>
      </c>
      <c r="AK38" s="103"/>
      <c r="AL38" s="113"/>
      <c r="AM38" s="36" t="s">
        <v>118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527</v>
      </c>
      <c r="C40" s="113" t="n">
        <v>350</v>
      </c>
      <c r="D40" s="36" t="s">
        <v>116</v>
      </c>
      <c r="E40" s="108" t="n">
        <v>100</v>
      </c>
      <c r="F40" s="108" t="n">
        <f aca="false">IF(ISBLANK(C40),"",C40*E40)</f>
        <v>35000</v>
      </c>
      <c r="G40" s="103"/>
      <c r="H40" s="113" t="n">
        <v>350</v>
      </c>
      <c r="I40" s="36" t="s">
        <v>116</v>
      </c>
      <c r="J40" s="108" t="n">
        <v>100</v>
      </c>
      <c r="K40" s="108" t="n">
        <f aca="false">IF(ISBLANK(H40),"",H40*J40)</f>
        <v>35000</v>
      </c>
      <c r="L40" s="103"/>
      <c r="M40" s="113" t="n">
        <v>350</v>
      </c>
      <c r="N40" s="36" t="s">
        <v>116</v>
      </c>
      <c r="O40" s="108" t="n">
        <v>100</v>
      </c>
      <c r="P40" s="108" t="n">
        <f aca="false">IF(ISBLANK(M40),"",M40*O40)</f>
        <v>35000</v>
      </c>
      <c r="Q40" s="103"/>
      <c r="R40" s="113" t="n">
        <v>350</v>
      </c>
      <c r="S40" s="36" t="s">
        <v>116</v>
      </c>
      <c r="T40" s="108" t="n">
        <v>100</v>
      </c>
      <c r="U40" s="108" t="n">
        <f aca="false">IF(ISBLANK(R40),"",R40*T40)</f>
        <v>35000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528</v>
      </c>
      <c r="C42" s="113" t="n">
        <v>1</v>
      </c>
      <c r="D42" s="36" t="s">
        <v>209</v>
      </c>
      <c r="E42" s="108" t="n">
        <v>500</v>
      </c>
      <c r="F42" s="108" t="n">
        <f aca="false">IF(ISBLANK(C42),"",C42*E42)</f>
        <v>500</v>
      </c>
      <c r="G42" s="103"/>
      <c r="H42" s="113" t="n">
        <v>1</v>
      </c>
      <c r="I42" s="36" t="s">
        <v>209</v>
      </c>
      <c r="J42" s="108" t="n">
        <v>500</v>
      </c>
      <c r="K42" s="108" t="n">
        <f aca="false">IF(ISBLANK(H42),"",H42*J42)</f>
        <v>500</v>
      </c>
      <c r="L42" s="103"/>
      <c r="M42" s="113" t="n">
        <v>1</v>
      </c>
      <c r="N42" s="36" t="s">
        <v>209</v>
      </c>
      <c r="O42" s="108" t="n">
        <v>500</v>
      </c>
      <c r="P42" s="108" t="n">
        <f aca="false">IF(ISBLANK(M42),"",M42*O42)</f>
        <v>500</v>
      </c>
      <c r="Q42" s="103"/>
      <c r="R42" s="113" t="n">
        <v>1</v>
      </c>
      <c r="S42" s="36" t="s">
        <v>209</v>
      </c>
      <c r="T42" s="108" t="n">
        <v>500</v>
      </c>
      <c r="U42" s="108" t="n">
        <f aca="false">IF(ISBLANK(R42),"",R42*T42)</f>
        <v>500</v>
      </c>
      <c r="V42" s="103"/>
      <c r="W42" s="113"/>
      <c r="X42" s="36" t="s">
        <v>209</v>
      </c>
      <c r="Y42" s="108"/>
      <c r="Z42" s="108" t="str">
        <f aca="false">IF(ISBLANK(W42),"",W42*Y42)</f>
        <v/>
      </c>
      <c r="AA42" s="103"/>
      <c r="AB42" s="113"/>
      <c r="AC42" s="36" t="s">
        <v>209</v>
      </c>
      <c r="AD42" s="108"/>
      <c r="AE42" s="108" t="str">
        <f aca="false">IF(ISBLANK(AB42),"",AB42*AD42)</f>
        <v/>
      </c>
      <c r="AF42" s="103"/>
      <c r="AG42" s="113"/>
      <c r="AH42" s="36" t="s">
        <v>209</v>
      </c>
      <c r="AI42" s="108"/>
      <c r="AJ42" s="108" t="str">
        <f aca="false">IF(ISBLANK(AG42),"",AG42*AI42)</f>
        <v/>
      </c>
      <c r="AK42" s="103"/>
      <c r="AL42" s="113"/>
      <c r="AM42" s="36" t="s">
        <v>209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529</v>
      </c>
      <c r="C44" s="113" t="n">
        <v>1</v>
      </c>
      <c r="D44" s="36" t="s">
        <v>209</v>
      </c>
      <c r="E44" s="108" t="n">
        <v>500</v>
      </c>
      <c r="F44" s="108" t="n">
        <f aca="false">IF(ISBLANK(C44),"",C44*E44)</f>
        <v>500</v>
      </c>
      <c r="G44" s="103"/>
      <c r="H44" s="113" t="n">
        <v>1</v>
      </c>
      <c r="I44" s="36" t="s">
        <v>209</v>
      </c>
      <c r="J44" s="108" t="n">
        <v>500</v>
      </c>
      <c r="K44" s="108" t="n">
        <f aca="false">IF(ISBLANK(H44),"",H44*J44)</f>
        <v>500</v>
      </c>
      <c r="L44" s="103"/>
      <c r="M44" s="113" t="n">
        <v>1</v>
      </c>
      <c r="N44" s="36" t="s">
        <v>209</v>
      </c>
      <c r="O44" s="108" t="n">
        <v>500</v>
      </c>
      <c r="P44" s="108" t="n">
        <f aca="false">IF(ISBLANK(M44),"",M44*O44)</f>
        <v>500</v>
      </c>
      <c r="Q44" s="103"/>
      <c r="R44" s="113" t="n">
        <v>1</v>
      </c>
      <c r="S44" s="36" t="s">
        <v>209</v>
      </c>
      <c r="T44" s="108" t="n">
        <v>500</v>
      </c>
      <c r="U44" s="108" t="n">
        <f aca="false">IF(ISBLANK(R44),"",R44*T44)</f>
        <v>500</v>
      </c>
      <c r="V44" s="103"/>
      <c r="W44" s="113"/>
      <c r="X44" s="36" t="s">
        <v>209</v>
      </c>
      <c r="Y44" s="108"/>
      <c r="Z44" s="108" t="str">
        <f aca="false">IF(ISBLANK(W44),"",W44*Y44)</f>
        <v/>
      </c>
      <c r="AA44" s="103"/>
      <c r="AB44" s="113"/>
      <c r="AC44" s="36" t="s">
        <v>209</v>
      </c>
      <c r="AD44" s="108"/>
      <c r="AE44" s="108" t="str">
        <f aca="false">IF(ISBLANK(AB44),"",AB44*AD44)</f>
        <v/>
      </c>
      <c r="AF44" s="103"/>
      <c r="AG44" s="113"/>
      <c r="AH44" s="36" t="s">
        <v>209</v>
      </c>
      <c r="AI44" s="108"/>
      <c r="AJ44" s="108" t="str">
        <f aca="false">IF(ISBLANK(AG44),"",AG44*AI44)</f>
        <v/>
      </c>
      <c r="AK44" s="103"/>
      <c r="AL44" s="113"/>
      <c r="AM44" s="36" t="s">
        <v>209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530</v>
      </c>
      <c r="C46" s="113" t="n">
        <v>1</v>
      </c>
      <c r="D46" s="36" t="s">
        <v>209</v>
      </c>
      <c r="E46" s="108" t="n">
        <v>500</v>
      </c>
      <c r="F46" s="108" t="n">
        <f aca="false">IF(ISBLANK(C46),"",C46*E46)</f>
        <v>500</v>
      </c>
      <c r="G46" s="103"/>
      <c r="H46" s="113" t="n">
        <v>1</v>
      </c>
      <c r="I46" s="36" t="s">
        <v>209</v>
      </c>
      <c r="J46" s="108" t="n">
        <v>500</v>
      </c>
      <c r="K46" s="108" t="n">
        <f aca="false">IF(ISBLANK(H46),"",H46*J46)</f>
        <v>500</v>
      </c>
      <c r="L46" s="103"/>
      <c r="M46" s="113" t="n">
        <v>1</v>
      </c>
      <c r="N46" s="36" t="s">
        <v>209</v>
      </c>
      <c r="O46" s="108" t="n">
        <v>500</v>
      </c>
      <c r="P46" s="108" t="n">
        <f aca="false">IF(ISBLANK(M46),"",M46*O46)</f>
        <v>500</v>
      </c>
      <c r="Q46" s="103"/>
      <c r="R46" s="113" t="n">
        <v>1</v>
      </c>
      <c r="S46" s="36" t="s">
        <v>209</v>
      </c>
      <c r="T46" s="108" t="n">
        <v>500</v>
      </c>
      <c r="U46" s="108" t="n">
        <f aca="false">IF(ISBLANK(R46),"",R46*T46)</f>
        <v>500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69230</v>
      </c>
      <c r="G54" s="103"/>
      <c r="H54" s="98"/>
      <c r="I54" s="98"/>
      <c r="J54" s="117" t="s">
        <v>177</v>
      </c>
      <c r="K54" s="117" t="n">
        <f aca="false">SUM(K5:K53)</f>
        <v>69230</v>
      </c>
      <c r="L54" s="103"/>
      <c r="M54" s="98"/>
      <c r="N54" s="98"/>
      <c r="O54" s="117" t="s">
        <v>177</v>
      </c>
      <c r="P54" s="117" t="n">
        <f aca="false">SUM(P5:P53)</f>
        <v>69230</v>
      </c>
      <c r="Q54" s="103"/>
      <c r="R54" s="98"/>
      <c r="S54" s="98"/>
      <c r="T54" s="117" t="s">
        <v>177</v>
      </c>
      <c r="U54" s="117" t="n">
        <f aca="false">SUM(U5:U53)</f>
        <v>69230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5.2 Services equipment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5.2 Services equipment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531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500</v>
      </c>
      <c r="K8" s="108" t="n">
        <f aca="false">IF(ISBLANK(H8),"",H8*J8)</f>
        <v>500</v>
      </c>
      <c r="L8" s="103"/>
      <c r="M8" s="113" t="n">
        <v>1</v>
      </c>
      <c r="N8" s="36" t="s">
        <v>209</v>
      </c>
      <c r="O8" s="108" t="n">
        <v>500</v>
      </c>
      <c r="P8" s="108" t="n">
        <f aca="false">IF(ISBLANK(M8),"",M8*O8)</f>
        <v>500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532</v>
      </c>
      <c r="C10" s="113" t="n">
        <v>1</v>
      </c>
      <c r="D10" s="36" t="s">
        <v>209</v>
      </c>
      <c r="E10" s="108" t="n">
        <v>500</v>
      </c>
      <c r="F10" s="108" t="n">
        <f aca="false">IF(ISBLANK(C10),"",C10*E10)</f>
        <v>500</v>
      </c>
      <c r="G10" s="103"/>
      <c r="H10" s="113" t="n">
        <v>1</v>
      </c>
      <c r="I10" s="36" t="s">
        <v>209</v>
      </c>
      <c r="J10" s="108" t="n">
        <v>500</v>
      </c>
      <c r="K10" s="108" t="n">
        <f aca="false">IF(ISBLANK(H10),"",H10*J10)</f>
        <v>500</v>
      </c>
      <c r="L10" s="103"/>
      <c r="M10" s="113" t="n">
        <v>1</v>
      </c>
      <c r="N10" s="36" t="s">
        <v>209</v>
      </c>
      <c r="O10" s="108" t="n">
        <v>500</v>
      </c>
      <c r="P10" s="108" t="n">
        <f aca="false">IF(ISBLANK(M10),"",M10*O10)</f>
        <v>500</v>
      </c>
      <c r="Q10" s="103"/>
      <c r="R10" s="113" t="n">
        <v>1</v>
      </c>
      <c r="S10" s="36" t="s">
        <v>209</v>
      </c>
      <c r="T10" s="108" t="n">
        <v>500</v>
      </c>
      <c r="U10" s="108" t="n">
        <f aca="false">IF(ISBLANK(R10),"",R10*T10)</f>
        <v>500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533</v>
      </c>
      <c r="C12" s="113" t="n">
        <v>1</v>
      </c>
      <c r="D12" s="36" t="s">
        <v>209</v>
      </c>
      <c r="E12" s="108" t="n">
        <v>500</v>
      </c>
      <c r="F12" s="108" t="n">
        <f aca="false">IF(ISBLANK(C12),"",C12*E12)</f>
        <v>500</v>
      </c>
      <c r="G12" s="103"/>
      <c r="H12" s="113" t="n">
        <v>1</v>
      </c>
      <c r="I12" s="36" t="s">
        <v>209</v>
      </c>
      <c r="J12" s="108" t="n">
        <v>500</v>
      </c>
      <c r="K12" s="108" t="n">
        <f aca="false">IF(ISBLANK(H12),"",H12*J12)</f>
        <v>500</v>
      </c>
      <c r="L12" s="103"/>
      <c r="M12" s="113" t="n">
        <v>1</v>
      </c>
      <c r="N12" s="36" t="s">
        <v>209</v>
      </c>
      <c r="O12" s="108" t="n">
        <v>500</v>
      </c>
      <c r="P12" s="108" t="n">
        <f aca="false">IF(ISBLANK(M12),"",M12*O12)</f>
        <v>500</v>
      </c>
      <c r="Q12" s="103"/>
      <c r="R12" s="113" t="n">
        <v>1</v>
      </c>
      <c r="S12" s="36" t="s">
        <v>209</v>
      </c>
      <c r="T12" s="108" t="n">
        <v>500</v>
      </c>
      <c r="U12" s="108" t="n">
        <f aca="false">IF(ISBLANK(R12),"",R12*T12)</f>
        <v>500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534</v>
      </c>
      <c r="C14" s="113" t="n">
        <v>24</v>
      </c>
      <c r="D14" s="36" t="s">
        <v>118</v>
      </c>
      <c r="E14" s="108" t="n">
        <v>100</v>
      </c>
      <c r="F14" s="108" t="n">
        <f aca="false">IF(ISBLANK(C14),"",C14*E14)</f>
        <v>2400</v>
      </c>
      <c r="G14" s="103"/>
      <c r="H14" s="113" t="n">
        <v>24</v>
      </c>
      <c r="I14" s="36" t="s">
        <v>118</v>
      </c>
      <c r="J14" s="108" t="n">
        <v>100</v>
      </c>
      <c r="K14" s="108" t="n">
        <f aca="false">IF(ISBLANK(H14),"",H14*J14)</f>
        <v>2400</v>
      </c>
      <c r="L14" s="103"/>
      <c r="M14" s="113" t="n">
        <v>24</v>
      </c>
      <c r="N14" s="36" t="s">
        <v>118</v>
      </c>
      <c r="O14" s="108" t="n">
        <v>100</v>
      </c>
      <c r="P14" s="108" t="n">
        <f aca="false">IF(ISBLANK(M14),"",M14*O14)</f>
        <v>2400</v>
      </c>
      <c r="Q14" s="103"/>
      <c r="R14" s="113" t="n">
        <v>24</v>
      </c>
      <c r="S14" s="36" t="s">
        <v>118</v>
      </c>
      <c r="T14" s="108" t="n">
        <v>100</v>
      </c>
      <c r="U14" s="108" t="n">
        <f aca="false">IF(ISBLANK(R14),"",R14*T14)</f>
        <v>2400</v>
      </c>
      <c r="V14" s="103"/>
      <c r="W14" s="113"/>
      <c r="X14" s="36" t="s">
        <v>118</v>
      </c>
      <c r="Y14" s="108"/>
      <c r="Z14" s="108" t="str">
        <f aca="false">IF(ISBLANK(W14),"",W14*Y14)</f>
        <v/>
      </c>
      <c r="AA14" s="103"/>
      <c r="AB14" s="113"/>
      <c r="AC14" s="36" t="s">
        <v>118</v>
      </c>
      <c r="AD14" s="108"/>
      <c r="AE14" s="108" t="str">
        <f aca="false">IF(ISBLANK(AB14),"",AB14*AD14)</f>
        <v/>
      </c>
      <c r="AF14" s="103"/>
      <c r="AG14" s="113"/>
      <c r="AH14" s="36" t="s">
        <v>118</v>
      </c>
      <c r="AI14" s="108"/>
      <c r="AJ14" s="108" t="str">
        <f aca="false">IF(ISBLANK(AG14),"",AG14*AI14)</f>
        <v/>
      </c>
      <c r="AK14" s="103"/>
      <c r="AL14" s="113"/>
      <c r="AM14" s="36" t="s">
        <v>118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IF(B15&gt;0,IF(C15&gt;0,MAX($A$5:A14)+1,"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535</v>
      </c>
      <c r="C16" s="113" t="n">
        <v>22</v>
      </c>
      <c r="D16" s="36" t="s">
        <v>118</v>
      </c>
      <c r="E16" s="108" t="n">
        <v>100</v>
      </c>
      <c r="F16" s="108" t="n">
        <f aca="false">IF(ISBLANK(C16),"",C16*E16)</f>
        <v>2200</v>
      </c>
      <c r="G16" s="103"/>
      <c r="H16" s="113" t="n">
        <v>22</v>
      </c>
      <c r="I16" s="36" t="s">
        <v>118</v>
      </c>
      <c r="J16" s="108" t="n">
        <v>100</v>
      </c>
      <c r="K16" s="108" t="n">
        <f aca="false">IF(ISBLANK(H16),"",H16*J16)</f>
        <v>2200</v>
      </c>
      <c r="L16" s="103"/>
      <c r="M16" s="113" t="n">
        <v>22</v>
      </c>
      <c r="N16" s="36" t="s">
        <v>118</v>
      </c>
      <c r="O16" s="108" t="n">
        <v>100</v>
      </c>
      <c r="P16" s="108" t="n">
        <f aca="false">IF(ISBLANK(M16),"",M16*O16)</f>
        <v>2200</v>
      </c>
      <c r="Q16" s="103"/>
      <c r="R16" s="113" t="n">
        <v>22</v>
      </c>
      <c r="S16" s="36" t="s">
        <v>118</v>
      </c>
      <c r="T16" s="108" t="n">
        <v>100</v>
      </c>
      <c r="U16" s="108" t="n">
        <f aca="false">IF(ISBLANK(R16),"",R16*T16)</f>
        <v>2200</v>
      </c>
      <c r="V16" s="103"/>
      <c r="W16" s="113"/>
      <c r="X16" s="36" t="s">
        <v>118</v>
      </c>
      <c r="Y16" s="108"/>
      <c r="Z16" s="108" t="str">
        <f aca="false">IF(ISBLANK(W16),"",W16*Y16)</f>
        <v/>
      </c>
      <c r="AA16" s="103"/>
      <c r="AB16" s="113"/>
      <c r="AC16" s="36" t="s">
        <v>118</v>
      </c>
      <c r="AD16" s="108"/>
      <c r="AE16" s="108" t="str">
        <f aca="false">IF(ISBLANK(AB16),"",AB16*AD16)</f>
        <v/>
      </c>
      <c r="AF16" s="103"/>
      <c r="AG16" s="113"/>
      <c r="AH16" s="36" t="s">
        <v>118</v>
      </c>
      <c r="AI16" s="108"/>
      <c r="AJ16" s="108" t="str">
        <f aca="false">IF(ISBLANK(AG16),"",AG16*AI16)</f>
        <v/>
      </c>
      <c r="AK16" s="103"/>
      <c r="AL16" s="113"/>
      <c r="AM16" s="36" t="s">
        <v>118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536</v>
      </c>
      <c r="C18" s="113" t="n">
        <v>10</v>
      </c>
      <c r="D18" s="36" t="s">
        <v>118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118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118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118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118</v>
      </c>
      <c r="Y18" s="108"/>
      <c r="Z18" s="108" t="str">
        <f aca="false">IF(ISBLANK(W18),"",W18*Y18)</f>
        <v/>
      </c>
      <c r="AA18" s="103"/>
      <c r="AB18" s="113"/>
      <c r="AC18" s="36" t="s">
        <v>118</v>
      </c>
      <c r="AD18" s="108"/>
      <c r="AE18" s="108" t="str">
        <f aca="false">IF(ISBLANK(AB18),"",AB18*AD18)</f>
        <v/>
      </c>
      <c r="AF18" s="103"/>
      <c r="AG18" s="113"/>
      <c r="AH18" s="36" t="s">
        <v>118</v>
      </c>
      <c r="AI18" s="108"/>
      <c r="AJ18" s="108" t="str">
        <f aca="false">IF(ISBLANK(AG18),"",AG18*AI18)</f>
        <v/>
      </c>
      <c r="AK18" s="103"/>
      <c r="AL18" s="113"/>
      <c r="AM18" s="36" t="s">
        <v>118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537</v>
      </c>
      <c r="C20" s="113" t="n">
        <v>24</v>
      </c>
      <c r="D20" s="36" t="s">
        <v>118</v>
      </c>
      <c r="E20" s="108" t="n">
        <v>100</v>
      </c>
      <c r="F20" s="108" t="n">
        <f aca="false">IF(ISBLANK(C20),"",C20*E20)</f>
        <v>2400</v>
      </c>
      <c r="G20" s="103"/>
      <c r="H20" s="113" t="n">
        <v>24</v>
      </c>
      <c r="I20" s="36" t="s">
        <v>118</v>
      </c>
      <c r="J20" s="108" t="n">
        <v>100</v>
      </c>
      <c r="K20" s="108" t="n">
        <f aca="false">IF(ISBLANK(H20),"",H20*J20)</f>
        <v>2400</v>
      </c>
      <c r="L20" s="103"/>
      <c r="M20" s="113" t="n">
        <v>24</v>
      </c>
      <c r="N20" s="36" t="s">
        <v>118</v>
      </c>
      <c r="O20" s="108" t="n">
        <v>100</v>
      </c>
      <c r="P20" s="108" t="n">
        <f aca="false">IF(ISBLANK(M20),"",M20*O20)</f>
        <v>2400</v>
      </c>
      <c r="Q20" s="103"/>
      <c r="R20" s="113" t="n">
        <v>24</v>
      </c>
      <c r="S20" s="36" t="s">
        <v>118</v>
      </c>
      <c r="T20" s="108" t="n">
        <v>100</v>
      </c>
      <c r="U20" s="108" t="n">
        <f aca="false">IF(ISBLANK(R20),"",R20*T20)</f>
        <v>2400</v>
      </c>
      <c r="V20" s="103"/>
      <c r="W20" s="113"/>
      <c r="X20" s="36" t="s">
        <v>118</v>
      </c>
      <c r="Y20" s="108"/>
      <c r="Z20" s="108" t="str">
        <f aca="false">IF(ISBLANK(W20),"",W20*Y20)</f>
        <v/>
      </c>
      <c r="AA20" s="103"/>
      <c r="AB20" s="113"/>
      <c r="AC20" s="36" t="s">
        <v>118</v>
      </c>
      <c r="AD20" s="108"/>
      <c r="AE20" s="108" t="str">
        <f aca="false">IF(ISBLANK(AB20),"",AB20*AD20)</f>
        <v/>
      </c>
      <c r="AF20" s="103"/>
      <c r="AG20" s="113"/>
      <c r="AH20" s="36" t="s">
        <v>118</v>
      </c>
      <c r="AI20" s="108"/>
      <c r="AJ20" s="108" t="str">
        <f aca="false">IF(ISBLANK(AG20),"",AG20*AI20)</f>
        <v/>
      </c>
      <c r="AK20" s="103"/>
      <c r="AL20" s="113"/>
      <c r="AM20" s="36" t="s">
        <v>118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538</v>
      </c>
      <c r="C22" s="113" t="n">
        <v>10</v>
      </c>
      <c r="D22" s="36" t="s">
        <v>118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118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118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118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118</v>
      </c>
      <c r="Y22" s="108"/>
      <c r="Z22" s="108" t="str">
        <f aca="false">IF(ISBLANK(W22),"",W22*Y22)</f>
        <v/>
      </c>
      <c r="AA22" s="103"/>
      <c r="AB22" s="113"/>
      <c r="AC22" s="36" t="s">
        <v>118</v>
      </c>
      <c r="AD22" s="108"/>
      <c r="AE22" s="108" t="str">
        <f aca="false">IF(ISBLANK(AB22),"",AB22*AD22)</f>
        <v/>
      </c>
      <c r="AF22" s="103"/>
      <c r="AG22" s="113"/>
      <c r="AH22" s="36" t="s">
        <v>118</v>
      </c>
      <c r="AI22" s="108"/>
      <c r="AJ22" s="108" t="str">
        <f aca="false">IF(ISBLANK(AG22),"",AG22*AI22)</f>
        <v/>
      </c>
      <c r="AK22" s="103"/>
      <c r="AL22" s="113"/>
      <c r="AM22" s="36" t="s">
        <v>118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IF(B23&gt;0,IF(C23&gt;0,MAX($A$5:A22)+1,"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539</v>
      </c>
      <c r="C24" s="113" t="n">
        <v>10</v>
      </c>
      <c r="D24" s="36" t="s">
        <v>118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118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118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118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118</v>
      </c>
      <c r="Y24" s="108"/>
      <c r="Z24" s="108" t="str">
        <f aca="false">IF(ISBLANK(W24),"",W24*Y24)</f>
        <v/>
      </c>
      <c r="AA24" s="103"/>
      <c r="AB24" s="113"/>
      <c r="AC24" s="36" t="s">
        <v>118</v>
      </c>
      <c r="AD24" s="108"/>
      <c r="AE24" s="108" t="str">
        <f aca="false">IF(ISBLANK(AB24),"",AB24*AD24)</f>
        <v/>
      </c>
      <c r="AF24" s="103"/>
      <c r="AG24" s="113"/>
      <c r="AH24" s="36" t="s">
        <v>118</v>
      </c>
      <c r="AI24" s="108"/>
      <c r="AJ24" s="108" t="str">
        <f aca="false">IF(ISBLANK(AG24),"",AG24*AI24)</f>
        <v/>
      </c>
      <c r="AK24" s="103"/>
      <c r="AL24" s="113"/>
      <c r="AM24" s="36" t="s">
        <v>118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540</v>
      </c>
      <c r="C26" s="113" t="n">
        <v>10</v>
      </c>
      <c r="D26" s="36" t="s">
        <v>118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118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118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118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118</v>
      </c>
      <c r="Y26" s="108"/>
      <c r="Z26" s="108" t="str">
        <f aca="false">IF(ISBLANK(W26),"",W26*Y26)</f>
        <v/>
      </c>
      <c r="AA26" s="103"/>
      <c r="AB26" s="113"/>
      <c r="AC26" s="36" t="s">
        <v>118</v>
      </c>
      <c r="AD26" s="108"/>
      <c r="AE26" s="108" t="str">
        <f aca="false">IF(ISBLANK(AB26),"",AB26*AD26)</f>
        <v/>
      </c>
      <c r="AF26" s="103"/>
      <c r="AG26" s="113"/>
      <c r="AH26" s="36" t="s">
        <v>118</v>
      </c>
      <c r="AI26" s="108"/>
      <c r="AJ26" s="108" t="str">
        <f aca="false">IF(ISBLANK(AG26),"",AG26*AI26)</f>
        <v/>
      </c>
      <c r="AK26" s="103"/>
      <c r="AL26" s="113"/>
      <c r="AM26" s="36" t="s">
        <v>118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541</v>
      </c>
      <c r="C28" s="113" t="n">
        <v>10</v>
      </c>
      <c r="D28" s="36" t="s">
        <v>118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118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118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118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118</v>
      </c>
      <c r="Y28" s="108"/>
      <c r="Z28" s="108" t="str">
        <f aca="false">IF(ISBLANK(W28),"",W28*Y28)</f>
        <v/>
      </c>
      <c r="AA28" s="103"/>
      <c r="AB28" s="113"/>
      <c r="AC28" s="36" t="s">
        <v>118</v>
      </c>
      <c r="AD28" s="108"/>
      <c r="AE28" s="108" t="str">
        <f aca="false">IF(ISBLANK(AB28),"",AB28*AD28)</f>
        <v/>
      </c>
      <c r="AF28" s="103"/>
      <c r="AG28" s="113"/>
      <c r="AH28" s="36" t="s">
        <v>118</v>
      </c>
      <c r="AI28" s="108"/>
      <c r="AJ28" s="108" t="str">
        <f aca="false">IF(ISBLANK(AG28),"",AG28*AI28)</f>
        <v/>
      </c>
      <c r="AK28" s="103"/>
      <c r="AL28" s="113"/>
      <c r="AM28" s="36" t="s">
        <v>118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542</v>
      </c>
      <c r="C30" s="113" t="n">
        <v>10</v>
      </c>
      <c r="D30" s="36" t="s">
        <v>118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118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118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118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118</v>
      </c>
      <c r="Y30" s="108"/>
      <c r="Z30" s="108" t="str">
        <f aca="false">IF(ISBLANK(W30),"",W30*Y30)</f>
        <v/>
      </c>
      <c r="AA30" s="103"/>
      <c r="AB30" s="113"/>
      <c r="AC30" s="36" t="s">
        <v>118</v>
      </c>
      <c r="AD30" s="108"/>
      <c r="AE30" s="108" t="str">
        <f aca="false">IF(ISBLANK(AB30),"",AB30*AD30)</f>
        <v/>
      </c>
      <c r="AF30" s="103"/>
      <c r="AG30" s="113"/>
      <c r="AH30" s="36" t="s">
        <v>118</v>
      </c>
      <c r="AI30" s="108"/>
      <c r="AJ30" s="108" t="str">
        <f aca="false">IF(ISBLANK(AG30),"",AG30*AI30)</f>
        <v/>
      </c>
      <c r="AK30" s="103"/>
      <c r="AL30" s="113"/>
      <c r="AM30" s="36" t="s">
        <v>118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IF(B31&gt;0,IF(C31&gt;0,MAX($A$5:A30)+1,"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543</v>
      </c>
      <c r="C32" s="113" t="n">
        <v>10</v>
      </c>
      <c r="D32" s="36" t="s">
        <v>118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118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118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118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118</v>
      </c>
      <c r="Y32" s="108"/>
      <c r="Z32" s="108" t="str">
        <f aca="false">IF(ISBLANK(W32),"",W32*Y32)</f>
        <v/>
      </c>
      <c r="AA32" s="103"/>
      <c r="AB32" s="113"/>
      <c r="AC32" s="36" t="s">
        <v>118</v>
      </c>
      <c r="AD32" s="108"/>
      <c r="AE32" s="108" t="str">
        <f aca="false">IF(ISBLANK(AB32),"",AB32*AD32)</f>
        <v/>
      </c>
      <c r="AF32" s="103"/>
      <c r="AG32" s="113"/>
      <c r="AH32" s="36" t="s">
        <v>118</v>
      </c>
      <c r="AI32" s="108"/>
      <c r="AJ32" s="108" t="str">
        <f aca="false">IF(ISBLANK(AG32),"",AG32*AI32)</f>
        <v/>
      </c>
      <c r="AK32" s="103"/>
      <c r="AL32" s="113"/>
      <c r="AM32" s="36" t="s">
        <v>118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544</v>
      </c>
      <c r="C34" s="113" t="n">
        <v>10</v>
      </c>
      <c r="D34" s="36" t="s">
        <v>118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118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118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118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118</v>
      </c>
      <c r="Y34" s="108"/>
      <c r="Z34" s="108" t="str">
        <f aca="false">IF(ISBLANK(W34),"",W34*Y34)</f>
        <v/>
      </c>
      <c r="AA34" s="103"/>
      <c r="AB34" s="113"/>
      <c r="AC34" s="36" t="s">
        <v>118</v>
      </c>
      <c r="AD34" s="108"/>
      <c r="AE34" s="108" t="str">
        <f aca="false">IF(ISBLANK(AB34),"",AB34*AD34)</f>
        <v/>
      </c>
      <c r="AF34" s="103"/>
      <c r="AG34" s="113"/>
      <c r="AH34" s="36" t="s">
        <v>118</v>
      </c>
      <c r="AI34" s="108"/>
      <c r="AJ34" s="108" t="str">
        <f aca="false">IF(ISBLANK(AG34),"",AG34*AI34)</f>
        <v/>
      </c>
      <c r="AK34" s="103"/>
      <c r="AL34" s="113"/>
      <c r="AM34" s="36" t="s">
        <v>118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545</v>
      </c>
      <c r="C36" s="113" t="n">
        <v>10</v>
      </c>
      <c r="D36" s="36" t="s">
        <v>118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118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118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118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118</v>
      </c>
      <c r="Y36" s="108"/>
      <c r="Z36" s="108" t="str">
        <f aca="false">IF(ISBLANK(W36),"",W36*Y36)</f>
        <v/>
      </c>
      <c r="AA36" s="103"/>
      <c r="AB36" s="113"/>
      <c r="AC36" s="36" t="s">
        <v>118</v>
      </c>
      <c r="AD36" s="108"/>
      <c r="AE36" s="108" t="str">
        <f aca="false">IF(ISBLANK(AB36),"",AB36*AD36)</f>
        <v/>
      </c>
      <c r="AF36" s="103"/>
      <c r="AG36" s="113"/>
      <c r="AH36" s="36" t="s">
        <v>118</v>
      </c>
      <c r="AI36" s="108"/>
      <c r="AJ36" s="108" t="str">
        <f aca="false">IF(ISBLANK(AG36),"",AG36*AI36)</f>
        <v/>
      </c>
      <c r="AK36" s="103"/>
      <c r="AL36" s="113"/>
      <c r="AM36" s="36" t="s">
        <v>118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546</v>
      </c>
      <c r="C38" s="113" t="n">
        <v>10</v>
      </c>
      <c r="D38" s="36" t="s">
        <v>118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118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118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118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118</v>
      </c>
      <c r="Y38" s="108"/>
      <c r="Z38" s="108" t="str">
        <f aca="false">IF(ISBLANK(W38),"",W38*Y38)</f>
        <v/>
      </c>
      <c r="AA38" s="103"/>
      <c r="AB38" s="113"/>
      <c r="AC38" s="36" t="s">
        <v>118</v>
      </c>
      <c r="AD38" s="108"/>
      <c r="AE38" s="108" t="str">
        <f aca="false">IF(ISBLANK(AB38),"",AB38*AD38)</f>
        <v/>
      </c>
      <c r="AF38" s="103"/>
      <c r="AG38" s="113"/>
      <c r="AH38" s="36" t="s">
        <v>118</v>
      </c>
      <c r="AI38" s="108"/>
      <c r="AJ38" s="108" t="str">
        <f aca="false">IF(ISBLANK(AG38),"",AG38*AI38)</f>
        <v/>
      </c>
      <c r="AK38" s="103"/>
      <c r="AL38" s="113"/>
      <c r="AM38" s="36" t="s">
        <v>118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IF(B39&gt;0,IF(C39&gt;0,MAX($A$5:A38)+1,"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547</v>
      </c>
      <c r="C40" s="113" t="n">
        <v>10</v>
      </c>
      <c r="D40" s="36" t="s">
        <v>118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118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118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118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118</v>
      </c>
      <c r="Y40" s="108"/>
      <c r="Z40" s="108" t="str">
        <f aca="false">IF(ISBLANK(W40),"",W40*Y40)</f>
        <v/>
      </c>
      <c r="AA40" s="103"/>
      <c r="AB40" s="113"/>
      <c r="AC40" s="36" t="s">
        <v>118</v>
      </c>
      <c r="AD40" s="108"/>
      <c r="AE40" s="108" t="str">
        <f aca="false">IF(ISBLANK(AB40),"",AB40*AD40)</f>
        <v/>
      </c>
      <c r="AF40" s="103"/>
      <c r="AG40" s="113"/>
      <c r="AH40" s="36" t="s">
        <v>118</v>
      </c>
      <c r="AI40" s="108"/>
      <c r="AJ40" s="108" t="str">
        <f aca="false">IF(ISBLANK(AG40),"",AG40*AI40)</f>
        <v/>
      </c>
      <c r="AK40" s="103"/>
      <c r="AL40" s="113"/>
      <c r="AM40" s="36" t="s">
        <v>118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548</v>
      </c>
      <c r="C42" s="113" t="n">
        <v>10</v>
      </c>
      <c r="D42" s="36" t="s">
        <v>118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118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118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118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118</v>
      </c>
      <c r="Y42" s="108"/>
      <c r="Z42" s="108" t="str">
        <f aca="false">IF(ISBLANK(W42),"",W42*Y42)</f>
        <v/>
      </c>
      <c r="AA42" s="103"/>
      <c r="AB42" s="113"/>
      <c r="AC42" s="36" t="s">
        <v>118</v>
      </c>
      <c r="AD42" s="108"/>
      <c r="AE42" s="108" t="str">
        <f aca="false">IF(ISBLANK(AB42),"",AB42*AD42)</f>
        <v/>
      </c>
      <c r="AF42" s="103"/>
      <c r="AG42" s="113"/>
      <c r="AH42" s="36" t="s">
        <v>118</v>
      </c>
      <c r="AI42" s="108"/>
      <c r="AJ42" s="108" t="str">
        <f aca="false">IF(ISBLANK(AG42),"",AG42*AI42)</f>
        <v/>
      </c>
      <c r="AK42" s="103"/>
      <c r="AL42" s="113"/>
      <c r="AM42" s="36" t="s">
        <v>118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549</v>
      </c>
      <c r="C44" s="113" t="n">
        <v>10</v>
      </c>
      <c r="D44" s="36" t="s">
        <v>118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118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118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118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118</v>
      </c>
      <c r="Y44" s="108"/>
      <c r="Z44" s="108" t="str">
        <f aca="false">IF(ISBLANK(W44),"",W44*Y44)</f>
        <v/>
      </c>
      <c r="AA44" s="103"/>
      <c r="AB44" s="113"/>
      <c r="AC44" s="36" t="s">
        <v>118</v>
      </c>
      <c r="AD44" s="108"/>
      <c r="AE44" s="108" t="str">
        <f aca="false">IF(ISBLANK(AB44),"",AB44*AD44)</f>
        <v/>
      </c>
      <c r="AF44" s="103"/>
      <c r="AG44" s="113"/>
      <c r="AH44" s="36" t="s">
        <v>118</v>
      </c>
      <c r="AI44" s="108"/>
      <c r="AJ44" s="108" t="str">
        <f aca="false">IF(ISBLANK(AG44),"",AG44*AI44)</f>
        <v/>
      </c>
      <c r="AK44" s="103"/>
      <c r="AL44" s="113"/>
      <c r="AM44" s="36" t="s">
        <v>118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550</v>
      </c>
      <c r="C46" s="113" t="n">
        <v>1</v>
      </c>
      <c r="D46" s="36" t="s">
        <v>209</v>
      </c>
      <c r="E46" s="108" t="n">
        <v>100</v>
      </c>
      <c r="F46" s="108" t="n">
        <f aca="false">IF(ISBLANK(C46),"",C46*E46)</f>
        <v>100</v>
      </c>
      <c r="G46" s="103"/>
      <c r="H46" s="113" t="n">
        <v>1</v>
      </c>
      <c r="I46" s="36" t="s">
        <v>209</v>
      </c>
      <c r="J46" s="108" t="n">
        <v>100</v>
      </c>
      <c r="K46" s="108" t="n">
        <f aca="false">IF(ISBLANK(H46),"",H46*J46)</f>
        <v>100</v>
      </c>
      <c r="L46" s="103"/>
      <c r="M46" s="113" t="n">
        <v>1</v>
      </c>
      <c r="N46" s="36" t="s">
        <v>209</v>
      </c>
      <c r="O46" s="108" t="n">
        <v>100</v>
      </c>
      <c r="P46" s="108" t="n">
        <f aca="false">IF(ISBLANK(M46),"",M46*O46)</f>
        <v>100</v>
      </c>
      <c r="Q46" s="103"/>
      <c r="R46" s="113" t="n">
        <v>1</v>
      </c>
      <c r="S46" s="36" t="s">
        <v>209</v>
      </c>
      <c r="T46" s="108" t="n">
        <v>100</v>
      </c>
      <c r="U46" s="108" t="n">
        <f aca="false">IF(ISBLANK(R46),"",R46*T46)</f>
        <v>100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21600</v>
      </c>
      <c r="G54" s="103"/>
      <c r="H54" s="98"/>
      <c r="I54" s="98"/>
      <c r="J54" s="117" t="s">
        <v>177</v>
      </c>
      <c r="K54" s="117" t="n">
        <f aca="false">SUM(K5:K53)</f>
        <v>21600</v>
      </c>
      <c r="L54" s="103"/>
      <c r="M54" s="98"/>
      <c r="N54" s="98"/>
      <c r="O54" s="117" t="s">
        <v>177</v>
      </c>
      <c r="P54" s="117" t="n">
        <f aca="false">SUM(P5:P53)</f>
        <v>21600</v>
      </c>
      <c r="Q54" s="103"/>
      <c r="R54" s="98"/>
      <c r="S54" s="98"/>
      <c r="T54" s="117" t="s">
        <v>177</v>
      </c>
      <c r="U54" s="117" t="n">
        <f aca="false">SUM(U5:U53)</f>
        <v>21600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5.3 Electrical Installations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5.3 Electrical Installations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551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500</v>
      </c>
      <c r="K8" s="108" t="n">
        <f aca="false">IF(ISBLANK(H8),"",H8*J8)</f>
        <v>500</v>
      </c>
      <c r="L8" s="103"/>
      <c r="M8" s="113" t="n">
        <v>1</v>
      </c>
      <c r="N8" s="36" t="s">
        <v>209</v>
      </c>
      <c r="O8" s="108" t="n">
        <v>500</v>
      </c>
      <c r="P8" s="108" t="n">
        <f aca="false">IF(ISBLANK(M8),"",M8*O8)</f>
        <v>500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552</v>
      </c>
      <c r="C10" s="113" t="n">
        <v>1</v>
      </c>
      <c r="D10" s="36" t="s">
        <v>209</v>
      </c>
      <c r="E10" s="108" t="n">
        <v>500</v>
      </c>
      <c r="F10" s="108" t="n">
        <f aca="false">IF(ISBLANK(C10),"",C10*E10)</f>
        <v>500</v>
      </c>
      <c r="G10" s="103"/>
      <c r="H10" s="113" t="n">
        <v>1</v>
      </c>
      <c r="I10" s="36" t="s">
        <v>209</v>
      </c>
      <c r="J10" s="108" t="n">
        <v>500</v>
      </c>
      <c r="K10" s="108" t="n">
        <f aca="false">IF(ISBLANK(H10),"",H10*J10)</f>
        <v>500</v>
      </c>
      <c r="L10" s="103"/>
      <c r="M10" s="113" t="n">
        <v>1</v>
      </c>
      <c r="N10" s="36" t="s">
        <v>209</v>
      </c>
      <c r="O10" s="108" t="n">
        <v>500</v>
      </c>
      <c r="P10" s="108" t="n">
        <f aca="false">IF(ISBLANK(M10),"",M10*O10)</f>
        <v>500</v>
      </c>
      <c r="Q10" s="103"/>
      <c r="R10" s="113" t="n">
        <v>1</v>
      </c>
      <c r="S10" s="36" t="s">
        <v>209</v>
      </c>
      <c r="T10" s="108" t="n">
        <v>500</v>
      </c>
      <c r="U10" s="108" t="n">
        <f aca="false">IF(ISBLANK(R10),"",R10*T10)</f>
        <v>500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553</v>
      </c>
      <c r="C12" s="113" t="n">
        <v>1</v>
      </c>
      <c r="D12" s="36" t="s">
        <v>209</v>
      </c>
      <c r="E12" s="108" t="n">
        <v>500</v>
      </c>
      <c r="F12" s="108" t="n">
        <f aca="false">IF(ISBLANK(C12),"",C12*E12)</f>
        <v>500</v>
      </c>
      <c r="G12" s="103"/>
      <c r="H12" s="113" t="n">
        <v>1</v>
      </c>
      <c r="I12" s="36" t="s">
        <v>209</v>
      </c>
      <c r="J12" s="108" t="n">
        <v>500</v>
      </c>
      <c r="K12" s="108" t="n">
        <f aca="false">IF(ISBLANK(H12),"",H12*J12)</f>
        <v>500</v>
      </c>
      <c r="L12" s="103"/>
      <c r="M12" s="113" t="n">
        <v>1</v>
      </c>
      <c r="N12" s="36" t="s">
        <v>209</v>
      </c>
      <c r="O12" s="108" t="n">
        <v>500</v>
      </c>
      <c r="P12" s="108" t="n">
        <f aca="false">IF(ISBLANK(M12),"",M12*O12)</f>
        <v>500</v>
      </c>
      <c r="Q12" s="103"/>
      <c r="R12" s="113" t="n">
        <v>1</v>
      </c>
      <c r="S12" s="36" t="s">
        <v>209</v>
      </c>
      <c r="T12" s="108" t="n">
        <v>500</v>
      </c>
      <c r="U12" s="108" t="n">
        <f aca="false">IF(ISBLANK(R12),"",R12*T12)</f>
        <v>500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554</v>
      </c>
      <c r="C14" s="113" t="n">
        <v>10</v>
      </c>
      <c r="D14" s="36" t="s">
        <v>269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269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269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269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269</v>
      </c>
      <c r="Y14" s="108"/>
      <c r="Z14" s="108" t="str">
        <f aca="false">IF(ISBLANK(W14),"",W14*Y14)</f>
        <v/>
      </c>
      <c r="AA14" s="103"/>
      <c r="AB14" s="113"/>
      <c r="AC14" s="36" t="s">
        <v>269</v>
      </c>
      <c r="AD14" s="108"/>
      <c r="AE14" s="108" t="str">
        <f aca="false">IF(ISBLANK(AB14),"",AB14*AD14)</f>
        <v/>
      </c>
      <c r="AF14" s="103"/>
      <c r="AG14" s="113"/>
      <c r="AH14" s="36" t="s">
        <v>269</v>
      </c>
      <c r="AI14" s="108"/>
      <c r="AJ14" s="108" t="str">
        <f aca="false">IF(ISBLANK(AG14),"",AG14*AI14)</f>
        <v/>
      </c>
      <c r="AK14" s="103"/>
      <c r="AL14" s="113"/>
      <c r="AM14" s="36" t="s">
        <v>269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555</v>
      </c>
      <c r="C16" s="113" t="n">
        <v>10</v>
      </c>
      <c r="D16" s="36" t="s">
        <v>269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269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269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269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269</v>
      </c>
      <c r="Y16" s="108"/>
      <c r="Z16" s="108" t="str">
        <f aca="false">IF(ISBLANK(W16),"",W16*Y16)</f>
        <v/>
      </c>
      <c r="AA16" s="103"/>
      <c r="AB16" s="113"/>
      <c r="AC16" s="36" t="s">
        <v>269</v>
      </c>
      <c r="AD16" s="108"/>
      <c r="AE16" s="108" t="str">
        <f aca="false">IF(ISBLANK(AB16),"",AB16*AD16)</f>
        <v/>
      </c>
      <c r="AF16" s="103"/>
      <c r="AG16" s="113"/>
      <c r="AH16" s="36" t="s">
        <v>269</v>
      </c>
      <c r="AI16" s="108"/>
      <c r="AJ16" s="108" t="str">
        <f aca="false">IF(ISBLANK(AG16),"",AG16*AI16)</f>
        <v/>
      </c>
      <c r="AK16" s="103"/>
      <c r="AL16" s="113"/>
      <c r="AM16" s="36" t="s">
        <v>269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556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557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558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559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560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561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562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563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564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565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566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567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568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569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116</v>
      </c>
      <c r="Y44" s="108"/>
      <c r="Z44" s="108" t="str">
        <f aca="false">IF(ISBLANK(W44),"",W44*Y44)</f>
        <v/>
      </c>
      <c r="AA44" s="103"/>
      <c r="AB44" s="113"/>
      <c r="AC44" s="36" t="s">
        <v>116</v>
      </c>
      <c r="AD44" s="108"/>
      <c r="AE44" s="108" t="str">
        <f aca="false">IF(ISBLANK(AB44),"",AB44*AD44)</f>
        <v/>
      </c>
      <c r="AF44" s="103"/>
      <c r="AG44" s="113"/>
      <c r="AH44" s="36" t="s">
        <v>116</v>
      </c>
      <c r="AI44" s="108"/>
      <c r="AJ44" s="108" t="str">
        <f aca="false">IF(ISBLANK(AG44),"",AG44*AI44)</f>
        <v/>
      </c>
      <c r="AK44" s="103"/>
      <c r="AL44" s="113"/>
      <c r="AM44" s="36" t="s">
        <v>116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550</v>
      </c>
      <c r="C46" s="113" t="n">
        <v>1</v>
      </c>
      <c r="D46" s="36" t="s">
        <v>209</v>
      </c>
      <c r="E46" s="108" t="n">
        <v>100</v>
      </c>
      <c r="F46" s="108" t="n">
        <f aca="false">IF(ISBLANK(C46),"",C46*E46)</f>
        <v>100</v>
      </c>
      <c r="G46" s="103"/>
      <c r="H46" s="113" t="n">
        <v>1</v>
      </c>
      <c r="I46" s="36" t="s">
        <v>116</v>
      </c>
      <c r="J46" s="108" t="n">
        <v>100</v>
      </c>
      <c r="K46" s="108" t="n">
        <f aca="false">IF(ISBLANK(H46),"",H46*J46)</f>
        <v>100</v>
      </c>
      <c r="L46" s="103"/>
      <c r="M46" s="113" t="n">
        <v>1</v>
      </c>
      <c r="N46" s="36" t="s">
        <v>209</v>
      </c>
      <c r="O46" s="108" t="n">
        <v>100</v>
      </c>
      <c r="P46" s="108" t="n">
        <f aca="false">IF(ISBLANK(M46),"",M46*O46)</f>
        <v>100</v>
      </c>
      <c r="Q46" s="103"/>
      <c r="R46" s="113" t="n">
        <v>1</v>
      </c>
      <c r="S46" s="36" t="s">
        <v>116</v>
      </c>
      <c r="T46" s="108" t="n">
        <v>100</v>
      </c>
      <c r="U46" s="108" t="n">
        <f aca="false">IF(ISBLANK(R46),"",R46*T46)</f>
        <v>100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17600</v>
      </c>
      <c r="G54" s="103"/>
      <c r="H54" s="98"/>
      <c r="I54" s="98"/>
      <c r="J54" s="117" t="s">
        <v>177</v>
      </c>
      <c r="K54" s="117" t="n">
        <f aca="false">SUM(K5:K53)</f>
        <v>17600</v>
      </c>
      <c r="L54" s="103"/>
      <c r="M54" s="98"/>
      <c r="N54" s="98"/>
      <c r="O54" s="117" t="s">
        <v>177</v>
      </c>
      <c r="P54" s="117" t="n">
        <f aca="false">SUM(P5:P53)</f>
        <v>17600</v>
      </c>
      <c r="Q54" s="103"/>
      <c r="R54" s="98"/>
      <c r="S54" s="98"/>
      <c r="T54" s="117" t="s">
        <v>177</v>
      </c>
      <c r="U54" s="117" t="n">
        <f aca="false">SUM(U5:U53)</f>
        <v>17600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5.4 Mechanical Installations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5.4 Mechanical Installations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570</v>
      </c>
      <c r="C8" s="113" t="n">
        <v>1</v>
      </c>
      <c r="D8" s="36" t="s">
        <v>209</v>
      </c>
      <c r="E8" s="108" t="n">
        <v>500</v>
      </c>
      <c r="F8" s="108" t="n">
        <f aca="false">IF(ISBLANK(C8),"",C8*E8)</f>
        <v>500</v>
      </c>
      <c r="G8" s="103"/>
      <c r="H8" s="113" t="n">
        <v>1</v>
      </c>
      <c r="I8" s="36" t="s">
        <v>209</v>
      </c>
      <c r="J8" s="108" t="n">
        <v>500</v>
      </c>
      <c r="K8" s="108" t="n">
        <f aca="false">IF(ISBLANK(H8),"",H8*J8)</f>
        <v>500</v>
      </c>
      <c r="L8" s="103"/>
      <c r="M8" s="113" t="n">
        <v>1</v>
      </c>
      <c r="N8" s="36" t="s">
        <v>209</v>
      </c>
      <c r="O8" s="108" t="n">
        <v>500</v>
      </c>
      <c r="P8" s="108" t="n">
        <f aca="false">IF(ISBLANK(M8),"",M8*O8)</f>
        <v>500</v>
      </c>
      <c r="Q8" s="103"/>
      <c r="R8" s="113" t="n">
        <v>1</v>
      </c>
      <c r="S8" s="36" t="s">
        <v>209</v>
      </c>
      <c r="T8" s="108" t="n">
        <v>500</v>
      </c>
      <c r="U8" s="108" t="n">
        <f aca="false">IF(ISBLANK(R8),"",R8*T8)</f>
        <v>500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571</v>
      </c>
      <c r="C10" s="113" t="n">
        <v>1</v>
      </c>
      <c r="D10" s="36" t="s">
        <v>209</v>
      </c>
      <c r="E10" s="108" t="n">
        <v>500</v>
      </c>
      <c r="F10" s="108" t="n">
        <f aca="false">IF(ISBLANK(C10),"",C10*E10)</f>
        <v>500</v>
      </c>
      <c r="G10" s="103"/>
      <c r="H10" s="113" t="n">
        <v>1</v>
      </c>
      <c r="I10" s="36" t="s">
        <v>209</v>
      </c>
      <c r="J10" s="108" t="n">
        <v>500</v>
      </c>
      <c r="K10" s="108" t="n">
        <f aca="false">IF(ISBLANK(H10),"",H10*J10)</f>
        <v>500</v>
      </c>
      <c r="L10" s="103"/>
      <c r="M10" s="113" t="n">
        <v>1</v>
      </c>
      <c r="N10" s="36" t="s">
        <v>209</v>
      </c>
      <c r="O10" s="108" t="n">
        <v>500</v>
      </c>
      <c r="P10" s="108" t="n">
        <f aca="false">IF(ISBLANK(M10),"",M10*O10)</f>
        <v>500</v>
      </c>
      <c r="Q10" s="103"/>
      <c r="R10" s="113" t="n">
        <v>1</v>
      </c>
      <c r="S10" s="36" t="s">
        <v>209</v>
      </c>
      <c r="T10" s="108" t="n">
        <v>500</v>
      </c>
      <c r="U10" s="108" t="n">
        <f aca="false">IF(ISBLANK(R10),"",R10*T10)</f>
        <v>500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553</v>
      </c>
      <c r="C12" s="113" t="n">
        <v>1</v>
      </c>
      <c r="D12" s="36" t="s">
        <v>209</v>
      </c>
      <c r="E12" s="108" t="n">
        <v>500</v>
      </c>
      <c r="F12" s="108" t="n">
        <f aca="false">IF(ISBLANK(C12),"",C12*E12)</f>
        <v>500</v>
      </c>
      <c r="G12" s="103"/>
      <c r="H12" s="113" t="n">
        <v>1</v>
      </c>
      <c r="I12" s="36" t="s">
        <v>209</v>
      </c>
      <c r="J12" s="108" t="n">
        <v>500</v>
      </c>
      <c r="K12" s="108" t="n">
        <f aca="false">IF(ISBLANK(H12),"",H12*J12)</f>
        <v>500</v>
      </c>
      <c r="L12" s="103"/>
      <c r="M12" s="113" t="n">
        <v>1</v>
      </c>
      <c r="N12" s="36" t="s">
        <v>209</v>
      </c>
      <c r="O12" s="108" t="n">
        <v>500</v>
      </c>
      <c r="P12" s="108" t="n">
        <f aca="false">IF(ISBLANK(M12),"",M12*O12)</f>
        <v>500</v>
      </c>
      <c r="Q12" s="103"/>
      <c r="R12" s="113" t="n">
        <v>1</v>
      </c>
      <c r="S12" s="36" t="s">
        <v>209</v>
      </c>
      <c r="T12" s="108" t="n">
        <v>500</v>
      </c>
      <c r="U12" s="108" t="n">
        <f aca="false">IF(ISBLANK(R12),"",R12*T12)</f>
        <v>500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572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573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574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575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576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577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578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579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580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581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582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583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584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585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586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587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116</v>
      </c>
      <c r="Y44" s="108"/>
      <c r="Z44" s="108" t="str">
        <f aca="false">IF(ISBLANK(W44),"",W44*Y44)</f>
        <v/>
      </c>
      <c r="AA44" s="103"/>
      <c r="AB44" s="113"/>
      <c r="AC44" s="36" t="s">
        <v>116</v>
      </c>
      <c r="AD44" s="108"/>
      <c r="AE44" s="108" t="str">
        <f aca="false">IF(ISBLANK(AB44),"",AB44*AD44)</f>
        <v/>
      </c>
      <c r="AF44" s="103"/>
      <c r="AG44" s="113"/>
      <c r="AH44" s="36" t="s">
        <v>116</v>
      </c>
      <c r="AI44" s="108"/>
      <c r="AJ44" s="108" t="str">
        <f aca="false">IF(ISBLANK(AG44),"",AG44*AI44)</f>
        <v/>
      </c>
      <c r="AK44" s="103"/>
      <c r="AL44" s="113"/>
      <c r="AM44" s="36" t="s">
        <v>116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588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/>
      <c r="X46" s="36" t="s">
        <v>116</v>
      </c>
      <c r="Y46" s="108"/>
      <c r="Z46" s="108" t="str">
        <f aca="false">IF(ISBLANK(W46),"",W46*Y46)</f>
        <v/>
      </c>
      <c r="AA46" s="103"/>
      <c r="AB46" s="113"/>
      <c r="AC46" s="36" t="s">
        <v>116</v>
      </c>
      <c r="AD46" s="108"/>
      <c r="AE46" s="108" t="str">
        <f aca="false">IF(ISBLANK(AB46),"",AB46*AD46)</f>
        <v/>
      </c>
      <c r="AF46" s="103"/>
      <c r="AG46" s="113"/>
      <c r="AH46" s="36" t="s">
        <v>116</v>
      </c>
      <c r="AI46" s="108"/>
      <c r="AJ46" s="108" t="str">
        <f aca="false">IF(ISBLANK(AG46),"",AG46*AI46)</f>
        <v/>
      </c>
      <c r="AK46" s="103"/>
      <c r="AL46" s="113"/>
      <c r="AM46" s="36" t="s">
        <v>116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18500</v>
      </c>
      <c r="G54" s="103"/>
      <c r="H54" s="98"/>
      <c r="I54" s="98"/>
      <c r="J54" s="117" t="s">
        <v>177</v>
      </c>
      <c r="K54" s="117" t="n">
        <f aca="false">SUM(K5:K53)</f>
        <v>18500</v>
      </c>
      <c r="L54" s="103"/>
      <c r="M54" s="98"/>
      <c r="N54" s="98"/>
      <c r="O54" s="117" t="s">
        <v>177</v>
      </c>
      <c r="P54" s="117" t="n">
        <f aca="false">SUM(P5:P53)</f>
        <v>18500</v>
      </c>
      <c r="Q54" s="103"/>
      <c r="R54" s="98"/>
      <c r="S54" s="98"/>
      <c r="T54" s="117" t="s">
        <v>177</v>
      </c>
      <c r="U54" s="117" t="n">
        <f aca="false">SUM(U5:U53)</f>
        <v>18500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5.5 Lift &amp; conveyor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5.5 Lift &amp; conveyor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589</v>
      </c>
      <c r="C8" s="113" t="n">
        <v>1</v>
      </c>
      <c r="D8" s="36" t="s">
        <v>209</v>
      </c>
      <c r="E8" s="108" t="n">
        <v>100</v>
      </c>
      <c r="F8" s="108" t="n">
        <f aca="false">IF(ISBLANK(C8),"",C8*E8)</f>
        <v>100</v>
      </c>
      <c r="G8" s="103"/>
      <c r="H8" s="113" t="n">
        <v>1</v>
      </c>
      <c r="I8" s="36" t="s">
        <v>209</v>
      </c>
      <c r="J8" s="108" t="n">
        <v>100</v>
      </c>
      <c r="K8" s="108" t="n">
        <f aca="false">IF(ISBLANK(H8),"",H8*J8)</f>
        <v>100</v>
      </c>
      <c r="L8" s="103"/>
      <c r="M8" s="113" t="n">
        <v>1</v>
      </c>
      <c r="N8" s="36" t="s">
        <v>209</v>
      </c>
      <c r="O8" s="108" t="n">
        <v>100</v>
      </c>
      <c r="P8" s="108" t="n">
        <f aca="false">IF(ISBLANK(M8),"",M8*O8)</f>
        <v>100</v>
      </c>
      <c r="Q8" s="103"/>
      <c r="R8" s="113" t="n">
        <v>1</v>
      </c>
      <c r="S8" s="36" t="s">
        <v>209</v>
      </c>
      <c r="T8" s="108" t="n">
        <v>100</v>
      </c>
      <c r="U8" s="108" t="n">
        <f aca="false">IF(ISBLANK(R8),"",R8*T8)</f>
        <v>100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590</v>
      </c>
      <c r="C10" s="113" t="n">
        <v>1</v>
      </c>
      <c r="D10" s="36" t="s">
        <v>209</v>
      </c>
      <c r="E10" s="108" t="n">
        <v>100</v>
      </c>
      <c r="F10" s="108" t="n">
        <f aca="false">IF(ISBLANK(C10),"",C10*E10)</f>
        <v>100</v>
      </c>
      <c r="G10" s="103"/>
      <c r="H10" s="113" t="n">
        <v>1</v>
      </c>
      <c r="I10" s="36" t="s">
        <v>209</v>
      </c>
      <c r="J10" s="108" t="n">
        <v>100</v>
      </c>
      <c r="K10" s="108" t="n">
        <f aca="false">IF(ISBLANK(H10),"",H10*J10)</f>
        <v>100</v>
      </c>
      <c r="L10" s="103"/>
      <c r="M10" s="113" t="n">
        <v>1</v>
      </c>
      <c r="N10" s="36" t="s">
        <v>209</v>
      </c>
      <c r="O10" s="108" t="n">
        <v>100</v>
      </c>
      <c r="P10" s="108" t="n">
        <f aca="false">IF(ISBLANK(M10),"",M10*O10)</f>
        <v>100</v>
      </c>
      <c r="Q10" s="103"/>
      <c r="R10" s="113" t="n">
        <v>1</v>
      </c>
      <c r="S10" s="36" t="s">
        <v>209</v>
      </c>
      <c r="T10" s="108" t="n">
        <v>100</v>
      </c>
      <c r="U10" s="108" t="n">
        <f aca="false">IF(ISBLANK(R10),"",R10*T10)</f>
        <v>100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553</v>
      </c>
      <c r="C12" s="113" t="n">
        <v>1</v>
      </c>
      <c r="D12" s="36" t="s">
        <v>209</v>
      </c>
      <c r="E12" s="108" t="n">
        <v>100</v>
      </c>
      <c r="F12" s="108" t="n">
        <f aca="false">IF(ISBLANK(C12),"",C12*E12)</f>
        <v>100</v>
      </c>
      <c r="G12" s="103"/>
      <c r="H12" s="113" t="n">
        <v>1</v>
      </c>
      <c r="I12" s="36" t="s">
        <v>209</v>
      </c>
      <c r="J12" s="108" t="n">
        <v>100</v>
      </c>
      <c r="K12" s="108" t="n">
        <f aca="false">IF(ISBLANK(H12),"",H12*J12)</f>
        <v>100</v>
      </c>
      <c r="L12" s="103"/>
      <c r="M12" s="113" t="n">
        <v>1</v>
      </c>
      <c r="N12" s="36" t="s">
        <v>209</v>
      </c>
      <c r="O12" s="108" t="n">
        <v>100</v>
      </c>
      <c r="P12" s="108" t="n">
        <f aca="false">IF(ISBLANK(M12),"",M12*O12)</f>
        <v>100</v>
      </c>
      <c r="Q12" s="103"/>
      <c r="R12" s="113" t="n">
        <v>1</v>
      </c>
      <c r="S12" s="36" t="s">
        <v>209</v>
      </c>
      <c r="T12" s="108" t="n">
        <v>100</v>
      </c>
      <c r="U12" s="108" t="n">
        <f aca="false">IF(ISBLANK(R12),"",R12*T12)</f>
        <v>100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591</v>
      </c>
      <c r="C14" s="113" t="n">
        <v>1</v>
      </c>
      <c r="D14" s="36" t="s">
        <v>118</v>
      </c>
      <c r="E14" s="108" t="n">
        <v>100</v>
      </c>
      <c r="F14" s="108" t="n">
        <f aca="false">IF(ISBLANK(C14),"",C14*E14)</f>
        <v>100</v>
      </c>
      <c r="G14" s="103"/>
      <c r="H14" s="113" t="n">
        <v>1</v>
      </c>
      <c r="I14" s="36" t="s">
        <v>118</v>
      </c>
      <c r="J14" s="108" t="n">
        <v>100</v>
      </c>
      <c r="K14" s="108" t="n">
        <f aca="false">IF(ISBLANK(H14),"",H14*J14)</f>
        <v>100</v>
      </c>
      <c r="L14" s="103"/>
      <c r="M14" s="113" t="n">
        <v>1</v>
      </c>
      <c r="N14" s="36" t="s">
        <v>118</v>
      </c>
      <c r="O14" s="108" t="n">
        <v>100</v>
      </c>
      <c r="P14" s="108" t="n">
        <f aca="false">IF(ISBLANK(M14),"",M14*O14)</f>
        <v>100</v>
      </c>
      <c r="Q14" s="103"/>
      <c r="R14" s="113" t="n">
        <v>1</v>
      </c>
      <c r="S14" s="36" t="s">
        <v>118</v>
      </c>
      <c r="T14" s="108" t="n">
        <v>100</v>
      </c>
      <c r="U14" s="108" t="n">
        <f aca="false">IF(ISBLANK(R14),"",R14*T14)</f>
        <v>100</v>
      </c>
      <c r="V14" s="103"/>
      <c r="W14" s="113"/>
      <c r="X14" s="36" t="s">
        <v>118</v>
      </c>
      <c r="Y14" s="108"/>
      <c r="Z14" s="108" t="str">
        <f aca="false">IF(ISBLANK(W14),"",W14*Y14)</f>
        <v/>
      </c>
      <c r="AA14" s="103"/>
      <c r="AB14" s="113"/>
      <c r="AC14" s="36" t="s">
        <v>118</v>
      </c>
      <c r="AD14" s="108"/>
      <c r="AE14" s="108" t="str">
        <f aca="false">IF(ISBLANK(AB14),"",AB14*AD14)</f>
        <v/>
      </c>
      <c r="AF14" s="103"/>
      <c r="AG14" s="113"/>
      <c r="AH14" s="36" t="s">
        <v>118</v>
      </c>
      <c r="AI14" s="108"/>
      <c r="AJ14" s="108" t="str">
        <f aca="false">IF(ISBLANK(AG14),"",AG14*AI14)</f>
        <v/>
      </c>
      <c r="AK14" s="103"/>
      <c r="AL14" s="113"/>
      <c r="AM14" s="36" t="s">
        <v>118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592</v>
      </c>
      <c r="C16" s="113" t="n">
        <v>1</v>
      </c>
      <c r="D16" s="36" t="s">
        <v>118</v>
      </c>
      <c r="E16" s="108" t="n">
        <v>100</v>
      </c>
      <c r="F16" s="108" t="n">
        <f aca="false">IF(ISBLANK(C16),"",C16*E16)</f>
        <v>100</v>
      </c>
      <c r="G16" s="103"/>
      <c r="H16" s="113" t="n">
        <v>1</v>
      </c>
      <c r="I16" s="36" t="s">
        <v>118</v>
      </c>
      <c r="J16" s="108" t="n">
        <v>100</v>
      </c>
      <c r="K16" s="108" t="n">
        <f aca="false">IF(ISBLANK(H16),"",H16*J16)</f>
        <v>100</v>
      </c>
      <c r="L16" s="103"/>
      <c r="M16" s="113" t="n">
        <v>1</v>
      </c>
      <c r="N16" s="36" t="s">
        <v>118</v>
      </c>
      <c r="O16" s="108" t="n">
        <v>100</v>
      </c>
      <c r="P16" s="108" t="n">
        <f aca="false">IF(ISBLANK(M16),"",M16*O16)</f>
        <v>100</v>
      </c>
      <c r="Q16" s="103"/>
      <c r="R16" s="113" t="n">
        <v>1</v>
      </c>
      <c r="S16" s="36" t="s">
        <v>118</v>
      </c>
      <c r="T16" s="108" t="n">
        <v>100</v>
      </c>
      <c r="U16" s="108" t="n">
        <f aca="false">IF(ISBLANK(R16),"",R16*T16)</f>
        <v>100</v>
      </c>
      <c r="V16" s="103"/>
      <c r="W16" s="113"/>
      <c r="X16" s="36" t="s">
        <v>118</v>
      </c>
      <c r="Y16" s="108"/>
      <c r="Z16" s="108" t="str">
        <f aca="false">IF(ISBLANK(W16),"",W16*Y16)</f>
        <v/>
      </c>
      <c r="AA16" s="103"/>
      <c r="AB16" s="113"/>
      <c r="AC16" s="36" t="s">
        <v>118</v>
      </c>
      <c r="AD16" s="108"/>
      <c r="AE16" s="108" t="str">
        <f aca="false">IF(ISBLANK(AB16),"",AB16*AD16)</f>
        <v/>
      </c>
      <c r="AF16" s="103"/>
      <c r="AG16" s="113"/>
      <c r="AH16" s="36" t="s">
        <v>118</v>
      </c>
      <c r="AI16" s="108"/>
      <c r="AJ16" s="108" t="str">
        <f aca="false">IF(ISBLANK(AG16),"",AG16*AI16)</f>
        <v/>
      </c>
      <c r="AK16" s="103"/>
      <c r="AL16" s="113"/>
      <c r="AM16" s="36" t="s">
        <v>118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593</v>
      </c>
      <c r="C18" s="113" t="n">
        <v>1</v>
      </c>
      <c r="D18" s="36" t="s">
        <v>118</v>
      </c>
      <c r="E18" s="108" t="n">
        <v>100</v>
      </c>
      <c r="F18" s="108" t="n">
        <f aca="false">IF(ISBLANK(C18),"",C18*E18)</f>
        <v>100</v>
      </c>
      <c r="G18" s="103"/>
      <c r="H18" s="113" t="n">
        <v>1</v>
      </c>
      <c r="I18" s="36" t="s">
        <v>118</v>
      </c>
      <c r="J18" s="108" t="n">
        <v>100</v>
      </c>
      <c r="K18" s="108" t="n">
        <f aca="false">IF(ISBLANK(H18),"",H18*J18)</f>
        <v>100</v>
      </c>
      <c r="L18" s="103"/>
      <c r="M18" s="113" t="n">
        <v>1</v>
      </c>
      <c r="N18" s="36" t="s">
        <v>118</v>
      </c>
      <c r="O18" s="108" t="n">
        <v>100</v>
      </c>
      <c r="P18" s="108" t="n">
        <f aca="false">IF(ISBLANK(M18),"",M18*O18)</f>
        <v>100</v>
      </c>
      <c r="Q18" s="103"/>
      <c r="R18" s="113" t="n">
        <v>1</v>
      </c>
      <c r="S18" s="36" t="s">
        <v>118</v>
      </c>
      <c r="T18" s="108" t="n">
        <v>100</v>
      </c>
      <c r="U18" s="108" t="n">
        <f aca="false">IF(ISBLANK(R18),"",R18*T18)</f>
        <v>100</v>
      </c>
      <c r="V18" s="103"/>
      <c r="W18" s="113"/>
      <c r="X18" s="36" t="s">
        <v>118</v>
      </c>
      <c r="Y18" s="108"/>
      <c r="Z18" s="108" t="str">
        <f aca="false">IF(ISBLANK(W18),"",W18*Y18)</f>
        <v/>
      </c>
      <c r="AA18" s="103"/>
      <c r="AB18" s="113"/>
      <c r="AC18" s="36" t="s">
        <v>118</v>
      </c>
      <c r="AD18" s="108"/>
      <c r="AE18" s="108" t="str">
        <f aca="false">IF(ISBLANK(AB18),"",AB18*AD18)</f>
        <v/>
      </c>
      <c r="AF18" s="103"/>
      <c r="AG18" s="113"/>
      <c r="AH18" s="36" t="s">
        <v>118</v>
      </c>
      <c r="AI18" s="108"/>
      <c r="AJ18" s="108" t="str">
        <f aca="false">IF(ISBLANK(AG18),"",AG18*AI18)</f>
        <v/>
      </c>
      <c r="AK18" s="103"/>
      <c r="AL18" s="113"/>
      <c r="AM18" s="36" t="s">
        <v>118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594</v>
      </c>
      <c r="C20" s="113" t="n">
        <v>1</v>
      </c>
      <c r="D20" s="36" t="s">
        <v>118</v>
      </c>
      <c r="E20" s="108" t="n">
        <v>100</v>
      </c>
      <c r="F20" s="108" t="n">
        <f aca="false">IF(ISBLANK(C20),"",C20*E20)</f>
        <v>100</v>
      </c>
      <c r="G20" s="103"/>
      <c r="H20" s="113" t="n">
        <v>1</v>
      </c>
      <c r="I20" s="36" t="s">
        <v>118</v>
      </c>
      <c r="J20" s="108" t="n">
        <v>100</v>
      </c>
      <c r="K20" s="108" t="n">
        <f aca="false">IF(ISBLANK(H20),"",H20*J20)</f>
        <v>100</v>
      </c>
      <c r="L20" s="103"/>
      <c r="M20" s="113" t="n">
        <v>1</v>
      </c>
      <c r="N20" s="36" t="s">
        <v>118</v>
      </c>
      <c r="O20" s="108" t="n">
        <v>100</v>
      </c>
      <c r="P20" s="108" t="n">
        <f aca="false">IF(ISBLANK(M20),"",M20*O20)</f>
        <v>100</v>
      </c>
      <c r="Q20" s="103"/>
      <c r="R20" s="113" t="n">
        <v>1</v>
      </c>
      <c r="S20" s="36" t="s">
        <v>118</v>
      </c>
      <c r="T20" s="108" t="n">
        <v>100</v>
      </c>
      <c r="U20" s="108" t="n">
        <f aca="false">IF(ISBLANK(R20),"",R20*T20)</f>
        <v>100</v>
      </c>
      <c r="V20" s="103"/>
      <c r="W20" s="113"/>
      <c r="X20" s="36" t="s">
        <v>118</v>
      </c>
      <c r="Y20" s="108"/>
      <c r="Z20" s="108" t="str">
        <f aca="false">IF(ISBLANK(W20),"",W20*Y20)</f>
        <v/>
      </c>
      <c r="AA20" s="103"/>
      <c r="AB20" s="113"/>
      <c r="AC20" s="36" t="s">
        <v>118</v>
      </c>
      <c r="AD20" s="108"/>
      <c r="AE20" s="108" t="str">
        <f aca="false">IF(ISBLANK(AB20),"",AB20*AD20)</f>
        <v/>
      </c>
      <c r="AF20" s="103"/>
      <c r="AG20" s="113"/>
      <c r="AH20" s="36" t="s">
        <v>118</v>
      </c>
      <c r="AI20" s="108"/>
      <c r="AJ20" s="108" t="str">
        <f aca="false">IF(ISBLANK(AG20),"",AG20*AI20)</f>
        <v/>
      </c>
      <c r="AK20" s="103"/>
      <c r="AL20" s="113"/>
      <c r="AM20" s="36" t="s">
        <v>118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595</v>
      </c>
      <c r="C22" s="113" t="n">
        <v>1</v>
      </c>
      <c r="D22" s="36" t="s">
        <v>118</v>
      </c>
      <c r="E22" s="108" t="n">
        <v>100</v>
      </c>
      <c r="F22" s="108" t="n">
        <f aca="false">IF(ISBLANK(C22),"",C22*E22)</f>
        <v>100</v>
      </c>
      <c r="G22" s="103"/>
      <c r="H22" s="113" t="n">
        <v>1</v>
      </c>
      <c r="I22" s="36" t="s">
        <v>118</v>
      </c>
      <c r="J22" s="108" t="n">
        <v>100</v>
      </c>
      <c r="K22" s="108" t="n">
        <f aca="false">IF(ISBLANK(H22),"",H22*J22)</f>
        <v>100</v>
      </c>
      <c r="L22" s="103"/>
      <c r="M22" s="113" t="n">
        <v>1</v>
      </c>
      <c r="N22" s="36" t="s">
        <v>118</v>
      </c>
      <c r="O22" s="108" t="n">
        <v>100</v>
      </c>
      <c r="P22" s="108" t="n">
        <f aca="false">IF(ISBLANK(M22),"",M22*O22)</f>
        <v>100</v>
      </c>
      <c r="Q22" s="103"/>
      <c r="R22" s="113" t="n">
        <v>1</v>
      </c>
      <c r="S22" s="36" t="s">
        <v>118</v>
      </c>
      <c r="T22" s="108" t="n">
        <v>100</v>
      </c>
      <c r="U22" s="108" t="n">
        <f aca="false">IF(ISBLANK(R22),"",R22*T22)</f>
        <v>100</v>
      </c>
      <c r="V22" s="103"/>
      <c r="W22" s="113"/>
      <c r="X22" s="36" t="s">
        <v>118</v>
      </c>
      <c r="Y22" s="108"/>
      <c r="Z22" s="108" t="str">
        <f aca="false">IF(ISBLANK(W22),"",W22*Y22)</f>
        <v/>
      </c>
      <c r="AA22" s="103"/>
      <c r="AB22" s="113"/>
      <c r="AC22" s="36" t="s">
        <v>118</v>
      </c>
      <c r="AD22" s="108"/>
      <c r="AE22" s="108" t="str">
        <f aca="false">IF(ISBLANK(AB22),"",AB22*AD22)</f>
        <v/>
      </c>
      <c r="AF22" s="103"/>
      <c r="AG22" s="113"/>
      <c r="AH22" s="36" t="s">
        <v>118</v>
      </c>
      <c r="AI22" s="108"/>
      <c r="AJ22" s="108" t="str">
        <f aca="false">IF(ISBLANK(AG22),"",AG22*AI22)</f>
        <v/>
      </c>
      <c r="AK22" s="103"/>
      <c r="AL22" s="113"/>
      <c r="AM22" s="36" t="s">
        <v>118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596</v>
      </c>
      <c r="C24" s="113" t="n">
        <v>1</v>
      </c>
      <c r="D24" s="36" t="s">
        <v>118</v>
      </c>
      <c r="E24" s="108" t="n">
        <v>100</v>
      </c>
      <c r="F24" s="108" t="n">
        <f aca="false">IF(ISBLANK(C24),"",C24*E24)</f>
        <v>100</v>
      </c>
      <c r="G24" s="103"/>
      <c r="H24" s="113" t="n">
        <v>1</v>
      </c>
      <c r="I24" s="36" t="s">
        <v>118</v>
      </c>
      <c r="J24" s="108" t="n">
        <v>100</v>
      </c>
      <c r="K24" s="108" t="n">
        <f aca="false">IF(ISBLANK(H24),"",H24*J24)</f>
        <v>100</v>
      </c>
      <c r="L24" s="103"/>
      <c r="M24" s="113" t="n">
        <v>1</v>
      </c>
      <c r="N24" s="36" t="s">
        <v>118</v>
      </c>
      <c r="O24" s="108" t="n">
        <v>100</v>
      </c>
      <c r="P24" s="108" t="n">
        <f aca="false">IF(ISBLANK(M24),"",M24*O24)</f>
        <v>100</v>
      </c>
      <c r="Q24" s="103"/>
      <c r="R24" s="113" t="n">
        <v>1</v>
      </c>
      <c r="S24" s="36" t="s">
        <v>118</v>
      </c>
      <c r="T24" s="108" t="n">
        <v>100</v>
      </c>
      <c r="U24" s="108" t="n">
        <f aca="false">IF(ISBLANK(R24),"",R24*T24)</f>
        <v>100</v>
      </c>
      <c r="V24" s="103"/>
      <c r="W24" s="113"/>
      <c r="X24" s="36" t="s">
        <v>118</v>
      </c>
      <c r="Y24" s="108"/>
      <c r="Z24" s="108" t="str">
        <f aca="false">IF(ISBLANK(W24),"",W24*Y24)</f>
        <v/>
      </c>
      <c r="AA24" s="103"/>
      <c r="AB24" s="113"/>
      <c r="AC24" s="36" t="s">
        <v>118</v>
      </c>
      <c r="AD24" s="108"/>
      <c r="AE24" s="108" t="str">
        <f aca="false">IF(ISBLANK(AB24),"",AB24*AD24)</f>
        <v/>
      </c>
      <c r="AF24" s="103"/>
      <c r="AG24" s="113"/>
      <c r="AH24" s="36" t="s">
        <v>118</v>
      </c>
      <c r="AI24" s="108"/>
      <c r="AJ24" s="108" t="str">
        <f aca="false">IF(ISBLANK(AG24),"",AG24*AI24)</f>
        <v/>
      </c>
      <c r="AK24" s="103"/>
      <c r="AL24" s="113"/>
      <c r="AM24" s="36" t="s">
        <v>118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597</v>
      </c>
      <c r="C26" s="113" t="n">
        <v>10</v>
      </c>
      <c r="D26" s="36" t="s">
        <v>118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118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118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118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118</v>
      </c>
      <c r="Y26" s="108"/>
      <c r="Z26" s="108" t="str">
        <f aca="false">IF(ISBLANK(W26),"",W26*Y26)</f>
        <v/>
      </c>
      <c r="AA26" s="103"/>
      <c r="AB26" s="113"/>
      <c r="AC26" s="36" t="s">
        <v>118</v>
      </c>
      <c r="AD26" s="108"/>
      <c r="AE26" s="108" t="str">
        <f aca="false">IF(ISBLANK(AB26),"",AB26*AD26)</f>
        <v/>
      </c>
      <c r="AF26" s="103"/>
      <c r="AG26" s="113"/>
      <c r="AH26" s="36" t="s">
        <v>118</v>
      </c>
      <c r="AI26" s="108"/>
      <c r="AJ26" s="108" t="str">
        <f aca="false">IF(ISBLANK(AG26),"",AG26*AI26)</f>
        <v/>
      </c>
      <c r="AK26" s="103"/>
      <c r="AL26" s="113"/>
      <c r="AM26" s="36" t="s">
        <v>118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598</v>
      </c>
      <c r="C28" s="113" t="n">
        <v>10</v>
      </c>
      <c r="D28" s="36" t="s">
        <v>118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118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118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118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118</v>
      </c>
      <c r="Y28" s="108"/>
      <c r="Z28" s="108" t="str">
        <f aca="false">IF(ISBLANK(W28),"",W28*Y28)</f>
        <v/>
      </c>
      <c r="AA28" s="103"/>
      <c r="AB28" s="113"/>
      <c r="AC28" s="36" t="s">
        <v>118</v>
      </c>
      <c r="AD28" s="108"/>
      <c r="AE28" s="108" t="str">
        <f aca="false">IF(ISBLANK(AB28),"",AB28*AD28)</f>
        <v/>
      </c>
      <c r="AF28" s="103"/>
      <c r="AG28" s="113"/>
      <c r="AH28" s="36" t="s">
        <v>118</v>
      </c>
      <c r="AI28" s="108"/>
      <c r="AJ28" s="108" t="str">
        <f aca="false">IF(ISBLANK(AG28),"",AG28*AI28)</f>
        <v/>
      </c>
      <c r="AK28" s="103"/>
      <c r="AL28" s="113"/>
      <c r="AM28" s="36" t="s">
        <v>118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599</v>
      </c>
      <c r="C30" s="113" t="n">
        <v>10</v>
      </c>
      <c r="D30" s="36" t="s">
        <v>118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118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118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118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118</v>
      </c>
      <c r="Y30" s="108"/>
      <c r="Z30" s="108" t="str">
        <f aca="false">IF(ISBLANK(W30),"",W30*Y30)</f>
        <v/>
      </c>
      <c r="AA30" s="103"/>
      <c r="AB30" s="113"/>
      <c r="AC30" s="36" t="s">
        <v>118</v>
      </c>
      <c r="AD30" s="108"/>
      <c r="AE30" s="108" t="str">
        <f aca="false">IF(ISBLANK(AB30),"",AB30*AD30)</f>
        <v/>
      </c>
      <c r="AF30" s="103"/>
      <c r="AG30" s="113"/>
      <c r="AH30" s="36" t="s">
        <v>118</v>
      </c>
      <c r="AI30" s="108"/>
      <c r="AJ30" s="108" t="str">
        <f aca="false">IF(ISBLANK(AG30),"",AG30*AI30)</f>
        <v/>
      </c>
      <c r="AK30" s="103"/>
      <c r="AL30" s="113"/>
      <c r="AM30" s="36" t="s">
        <v>118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600</v>
      </c>
      <c r="C32" s="113" t="n">
        <v>10</v>
      </c>
      <c r="D32" s="36" t="s">
        <v>118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118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118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118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118</v>
      </c>
      <c r="Y32" s="108"/>
      <c r="Z32" s="108" t="str">
        <f aca="false">IF(ISBLANK(W32),"",W32*Y32)</f>
        <v/>
      </c>
      <c r="AA32" s="103"/>
      <c r="AB32" s="113"/>
      <c r="AC32" s="36" t="s">
        <v>118</v>
      </c>
      <c r="AD32" s="108"/>
      <c r="AE32" s="108" t="str">
        <f aca="false">IF(ISBLANK(AB32),"",AB32*AD32)</f>
        <v/>
      </c>
      <c r="AF32" s="103"/>
      <c r="AG32" s="113"/>
      <c r="AH32" s="36" t="s">
        <v>118</v>
      </c>
      <c r="AI32" s="108"/>
      <c r="AJ32" s="108" t="str">
        <f aca="false">IF(ISBLANK(AG32),"",AG32*AI32)</f>
        <v/>
      </c>
      <c r="AK32" s="103"/>
      <c r="AL32" s="113"/>
      <c r="AM32" s="36" t="s">
        <v>118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601</v>
      </c>
      <c r="C34" s="113" t="n">
        <v>10</v>
      </c>
      <c r="D34" s="36" t="s">
        <v>118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118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118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118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118</v>
      </c>
      <c r="Y34" s="108"/>
      <c r="Z34" s="108" t="str">
        <f aca="false">IF(ISBLANK(W34),"",W34*Y34)</f>
        <v/>
      </c>
      <c r="AA34" s="103"/>
      <c r="AB34" s="113"/>
      <c r="AC34" s="36" t="s">
        <v>118</v>
      </c>
      <c r="AD34" s="108"/>
      <c r="AE34" s="108" t="str">
        <f aca="false">IF(ISBLANK(AB34),"",AB34*AD34)</f>
        <v/>
      </c>
      <c r="AF34" s="103"/>
      <c r="AG34" s="113"/>
      <c r="AH34" s="36" t="s">
        <v>118</v>
      </c>
      <c r="AI34" s="108"/>
      <c r="AJ34" s="108" t="str">
        <f aca="false">IF(ISBLANK(AG34),"",AG34*AI34)</f>
        <v/>
      </c>
      <c r="AK34" s="103"/>
      <c r="AL34" s="113"/>
      <c r="AM34" s="36" t="s">
        <v>118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602</v>
      </c>
      <c r="C36" s="113" t="n">
        <v>10</v>
      </c>
      <c r="D36" s="36" t="s">
        <v>118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118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118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118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118</v>
      </c>
      <c r="Y36" s="108"/>
      <c r="Z36" s="108" t="str">
        <f aca="false">IF(ISBLANK(W36),"",W36*Y36)</f>
        <v/>
      </c>
      <c r="AA36" s="103"/>
      <c r="AB36" s="113"/>
      <c r="AC36" s="36" t="s">
        <v>118</v>
      </c>
      <c r="AD36" s="108"/>
      <c r="AE36" s="108" t="str">
        <f aca="false">IF(ISBLANK(AB36),"",AB36*AD36)</f>
        <v/>
      </c>
      <c r="AF36" s="103"/>
      <c r="AG36" s="113"/>
      <c r="AH36" s="36" t="s">
        <v>118</v>
      </c>
      <c r="AI36" s="108"/>
      <c r="AJ36" s="108" t="str">
        <f aca="false">IF(ISBLANK(AG36),"",AG36*AI36)</f>
        <v/>
      </c>
      <c r="AK36" s="103"/>
      <c r="AL36" s="113"/>
      <c r="AM36" s="36" t="s">
        <v>118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603</v>
      </c>
      <c r="C38" s="113" t="n">
        <v>10</v>
      </c>
      <c r="D38" s="36" t="s">
        <v>118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118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118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118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118</v>
      </c>
      <c r="Y38" s="108"/>
      <c r="Z38" s="108" t="str">
        <f aca="false">IF(ISBLANK(W38),"",W38*Y38)</f>
        <v/>
      </c>
      <c r="AA38" s="103"/>
      <c r="AB38" s="113"/>
      <c r="AC38" s="36" t="s">
        <v>118</v>
      </c>
      <c r="AD38" s="108"/>
      <c r="AE38" s="108" t="str">
        <f aca="false">IF(ISBLANK(AB38),"",AB38*AD38)</f>
        <v/>
      </c>
      <c r="AF38" s="103"/>
      <c r="AG38" s="113"/>
      <c r="AH38" s="36" t="s">
        <v>118</v>
      </c>
      <c r="AI38" s="108"/>
      <c r="AJ38" s="108" t="str">
        <f aca="false">IF(ISBLANK(AG38),"",AG38*AI38)</f>
        <v/>
      </c>
      <c r="AK38" s="103"/>
      <c r="AL38" s="113"/>
      <c r="AM38" s="36" t="s">
        <v>118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604</v>
      </c>
      <c r="C40" s="113" t="n">
        <v>10</v>
      </c>
      <c r="D40" s="36" t="s">
        <v>118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118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118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118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118</v>
      </c>
      <c r="Y40" s="108"/>
      <c r="Z40" s="108" t="str">
        <f aca="false">IF(ISBLANK(W40),"",W40*Y40)</f>
        <v/>
      </c>
      <c r="AA40" s="103"/>
      <c r="AB40" s="113"/>
      <c r="AC40" s="36" t="s">
        <v>118</v>
      </c>
      <c r="AD40" s="108"/>
      <c r="AE40" s="108" t="str">
        <f aca="false">IF(ISBLANK(AB40),"",AB40*AD40)</f>
        <v/>
      </c>
      <c r="AF40" s="103"/>
      <c r="AG40" s="113"/>
      <c r="AH40" s="36" t="s">
        <v>118</v>
      </c>
      <c r="AI40" s="108"/>
      <c r="AJ40" s="108" t="str">
        <f aca="false">IF(ISBLANK(AG40),"",AG40*AI40)</f>
        <v/>
      </c>
      <c r="AK40" s="103"/>
      <c r="AL40" s="113"/>
      <c r="AM40" s="36" t="s">
        <v>118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585</v>
      </c>
      <c r="C42" s="113" t="n">
        <v>10</v>
      </c>
      <c r="D42" s="36" t="s">
        <v>118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118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118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118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118</v>
      </c>
      <c r="Y42" s="108"/>
      <c r="Z42" s="108" t="str">
        <f aca="false">IF(ISBLANK(W42),"",W42*Y42)</f>
        <v/>
      </c>
      <c r="AA42" s="103"/>
      <c r="AB42" s="113"/>
      <c r="AC42" s="36" t="s">
        <v>118</v>
      </c>
      <c r="AD42" s="108"/>
      <c r="AE42" s="108" t="str">
        <f aca="false">IF(ISBLANK(AB42),"",AB42*AD42)</f>
        <v/>
      </c>
      <c r="AF42" s="103"/>
      <c r="AG42" s="113"/>
      <c r="AH42" s="36" t="s">
        <v>118</v>
      </c>
      <c r="AI42" s="108"/>
      <c r="AJ42" s="108" t="str">
        <f aca="false">IF(ISBLANK(AG42),"",AG42*AI42)</f>
        <v/>
      </c>
      <c r="AK42" s="103"/>
      <c r="AL42" s="113"/>
      <c r="AM42" s="36" t="s">
        <v>118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605</v>
      </c>
      <c r="C44" s="113" t="n">
        <v>10</v>
      </c>
      <c r="D44" s="36" t="s">
        <v>118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118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118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118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118</v>
      </c>
      <c r="Y44" s="108"/>
      <c r="Z44" s="108" t="str">
        <f aca="false">IF(ISBLANK(W44),"",W44*Y44)</f>
        <v/>
      </c>
      <c r="AA44" s="103"/>
      <c r="AB44" s="113"/>
      <c r="AC44" s="36" t="s">
        <v>118</v>
      </c>
      <c r="AD44" s="108"/>
      <c r="AE44" s="108" t="str">
        <f aca="false">IF(ISBLANK(AB44),"",AB44*AD44)</f>
        <v/>
      </c>
      <c r="AF44" s="103"/>
      <c r="AG44" s="113"/>
      <c r="AH44" s="36" t="s">
        <v>118</v>
      </c>
      <c r="AI44" s="108"/>
      <c r="AJ44" s="108" t="str">
        <f aca="false">IF(ISBLANK(AG44),"",AG44*AI44)</f>
        <v/>
      </c>
      <c r="AK44" s="103"/>
      <c r="AL44" s="113"/>
      <c r="AM44" s="36" t="s">
        <v>118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588</v>
      </c>
      <c r="C46" s="113" t="n">
        <v>1</v>
      </c>
      <c r="D46" s="36" t="s">
        <v>209</v>
      </c>
      <c r="E46" s="108" t="n">
        <v>100</v>
      </c>
      <c r="F46" s="108" t="n">
        <f aca="false">IF(ISBLANK(C46),"",C46*E46)</f>
        <v>100</v>
      </c>
      <c r="G46" s="103"/>
      <c r="H46" s="113" t="n">
        <v>1</v>
      </c>
      <c r="I46" s="36" t="s">
        <v>209</v>
      </c>
      <c r="J46" s="108" t="n">
        <v>100</v>
      </c>
      <c r="K46" s="108" t="n">
        <f aca="false">IF(ISBLANK(H46),"",H46*J46)</f>
        <v>100</v>
      </c>
      <c r="L46" s="103"/>
      <c r="M46" s="113" t="n">
        <v>1</v>
      </c>
      <c r="N46" s="36" t="s">
        <v>209</v>
      </c>
      <c r="O46" s="108" t="n">
        <v>100</v>
      </c>
      <c r="P46" s="108" t="n">
        <f aca="false">IF(ISBLANK(M46),"",M46*O46)</f>
        <v>100</v>
      </c>
      <c r="Q46" s="103"/>
      <c r="R46" s="113" t="n">
        <v>1</v>
      </c>
      <c r="S46" s="36" t="s">
        <v>209</v>
      </c>
      <c r="T46" s="108" t="n">
        <v>100</v>
      </c>
      <c r="U46" s="108" t="n">
        <f aca="false">IF(ISBLANK(R46),"",R46*T46)</f>
        <v>100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11000</v>
      </c>
      <c r="G54" s="103"/>
      <c r="H54" s="98"/>
      <c r="I54" s="98"/>
      <c r="J54" s="117" t="s">
        <v>177</v>
      </c>
      <c r="K54" s="117" t="n">
        <f aca="false">SUM(K5:K53)</f>
        <v>11000</v>
      </c>
      <c r="L54" s="103"/>
      <c r="M54" s="98"/>
      <c r="N54" s="98"/>
      <c r="O54" s="117" t="s">
        <v>177</v>
      </c>
      <c r="P54" s="117" t="n">
        <f aca="false">SUM(P5:P53)</f>
        <v>11000</v>
      </c>
      <c r="Q54" s="103"/>
      <c r="R54" s="98"/>
      <c r="S54" s="98"/>
      <c r="T54" s="117" t="s">
        <v>177</v>
      </c>
      <c r="U54" s="117" t="n">
        <f aca="false">SUM(U5:U53)</f>
        <v>11000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5.6 Fire &amp; lightning protection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5.6 Fire &amp; lightning protection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606</v>
      </c>
      <c r="C8" s="113" t="n">
        <v>1</v>
      </c>
      <c r="D8" s="36" t="s">
        <v>209</v>
      </c>
      <c r="E8" s="108" t="n">
        <v>100</v>
      </c>
      <c r="F8" s="108" t="n">
        <f aca="false">IF(ISBLANK(C8),"",C8*E8)</f>
        <v>100</v>
      </c>
      <c r="G8" s="103"/>
      <c r="H8" s="113" t="n">
        <v>1</v>
      </c>
      <c r="I8" s="36" t="s">
        <v>209</v>
      </c>
      <c r="J8" s="108" t="n">
        <v>100</v>
      </c>
      <c r="K8" s="108" t="n">
        <f aca="false">IF(ISBLANK(H8),"",H8*J8)</f>
        <v>100</v>
      </c>
      <c r="L8" s="103"/>
      <c r="M8" s="113" t="n">
        <v>1</v>
      </c>
      <c r="N8" s="36" t="s">
        <v>209</v>
      </c>
      <c r="O8" s="108" t="n">
        <v>100</v>
      </c>
      <c r="P8" s="108" t="n">
        <f aca="false">IF(ISBLANK(M8),"",M8*O8)</f>
        <v>100</v>
      </c>
      <c r="Q8" s="103"/>
      <c r="R8" s="113" t="n">
        <v>1</v>
      </c>
      <c r="S8" s="36" t="s">
        <v>209</v>
      </c>
      <c r="T8" s="108" t="n">
        <v>100</v>
      </c>
      <c r="U8" s="108" t="n">
        <f aca="false">IF(ISBLANK(R8),"",R8*T8)</f>
        <v>100</v>
      </c>
      <c r="V8" s="103"/>
      <c r="W8" s="113"/>
      <c r="X8" s="36" t="s">
        <v>209</v>
      </c>
      <c r="Y8" s="108"/>
      <c r="Z8" s="108" t="str">
        <f aca="false">IF(ISBLANK(W8),"",W8*Y8)</f>
        <v/>
      </c>
      <c r="AA8" s="103"/>
      <c r="AB8" s="113"/>
      <c r="AC8" s="36" t="s">
        <v>209</v>
      </c>
      <c r="AD8" s="108"/>
      <c r="AE8" s="108" t="str">
        <f aca="false">IF(ISBLANK(AB8),"",AB8*AD8)</f>
        <v/>
      </c>
      <c r="AF8" s="103"/>
      <c r="AG8" s="113"/>
      <c r="AH8" s="36" t="s">
        <v>209</v>
      </c>
      <c r="AI8" s="108"/>
      <c r="AJ8" s="108" t="str">
        <f aca="false">IF(ISBLANK(AG8),"",AG8*AI8)</f>
        <v/>
      </c>
      <c r="AK8" s="103"/>
      <c r="AL8" s="113"/>
      <c r="AM8" s="36" t="s">
        <v>209</v>
      </c>
      <c r="AN8" s="108"/>
      <c r="AO8" s="108" t="str">
        <f aca="false">IF(ISBLANK(AL8),"",AL8*AN8)</f>
        <v/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607</v>
      </c>
      <c r="C10" s="113" t="n">
        <v>1</v>
      </c>
      <c r="D10" s="36" t="s">
        <v>209</v>
      </c>
      <c r="E10" s="108" t="n">
        <v>100</v>
      </c>
      <c r="F10" s="108" t="n">
        <f aca="false">IF(ISBLANK(C10),"",C10*E10)</f>
        <v>100</v>
      </c>
      <c r="G10" s="103"/>
      <c r="H10" s="113" t="n">
        <v>1</v>
      </c>
      <c r="I10" s="36" t="s">
        <v>209</v>
      </c>
      <c r="J10" s="108" t="n">
        <v>100</v>
      </c>
      <c r="K10" s="108" t="n">
        <f aca="false">IF(ISBLANK(H10),"",H10*J10)</f>
        <v>100</v>
      </c>
      <c r="L10" s="103"/>
      <c r="M10" s="113" t="n">
        <v>1</v>
      </c>
      <c r="N10" s="36" t="s">
        <v>209</v>
      </c>
      <c r="O10" s="108" t="n">
        <v>100</v>
      </c>
      <c r="P10" s="108" t="n">
        <f aca="false">IF(ISBLANK(M10),"",M10*O10)</f>
        <v>100</v>
      </c>
      <c r="Q10" s="103"/>
      <c r="R10" s="113" t="n">
        <v>1</v>
      </c>
      <c r="S10" s="36" t="s">
        <v>209</v>
      </c>
      <c r="T10" s="108" t="n">
        <v>100</v>
      </c>
      <c r="U10" s="108" t="n">
        <f aca="false">IF(ISBLANK(R10),"",R10*T10)</f>
        <v>100</v>
      </c>
      <c r="V10" s="103"/>
      <c r="W10" s="113"/>
      <c r="X10" s="36" t="s">
        <v>209</v>
      </c>
      <c r="Y10" s="108"/>
      <c r="Z10" s="108" t="str">
        <f aca="false">IF(ISBLANK(W10),"",W10*Y10)</f>
        <v/>
      </c>
      <c r="AA10" s="103"/>
      <c r="AB10" s="113"/>
      <c r="AC10" s="36" t="s">
        <v>209</v>
      </c>
      <c r="AD10" s="108"/>
      <c r="AE10" s="108" t="str">
        <f aca="false">IF(ISBLANK(AB10),"",AB10*AD10)</f>
        <v/>
      </c>
      <c r="AF10" s="103"/>
      <c r="AG10" s="113"/>
      <c r="AH10" s="36" t="s">
        <v>209</v>
      </c>
      <c r="AI10" s="108"/>
      <c r="AJ10" s="108" t="str">
        <f aca="false">IF(ISBLANK(AG10),"",AG10*AI10)</f>
        <v/>
      </c>
      <c r="AK10" s="103"/>
      <c r="AL10" s="113"/>
      <c r="AM10" s="36" t="s">
        <v>209</v>
      </c>
      <c r="AN10" s="108"/>
      <c r="AO10" s="108" t="str">
        <f aca="false">IF(ISBLANK(AL10),"",AL10*AN10)</f>
        <v/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553</v>
      </c>
      <c r="C12" s="113" t="n">
        <v>1</v>
      </c>
      <c r="D12" s="36" t="s">
        <v>209</v>
      </c>
      <c r="E12" s="108" t="n">
        <v>100</v>
      </c>
      <c r="F12" s="108" t="n">
        <f aca="false">IF(ISBLANK(C12),"",C12*E12)</f>
        <v>100</v>
      </c>
      <c r="G12" s="103"/>
      <c r="H12" s="113" t="n">
        <v>1</v>
      </c>
      <c r="I12" s="36" t="s">
        <v>209</v>
      </c>
      <c r="J12" s="108" t="n">
        <v>100</v>
      </c>
      <c r="K12" s="108" t="n">
        <f aca="false">IF(ISBLANK(H12),"",H12*J12)</f>
        <v>100</v>
      </c>
      <c r="L12" s="103"/>
      <c r="M12" s="113" t="n">
        <v>1</v>
      </c>
      <c r="N12" s="36" t="s">
        <v>209</v>
      </c>
      <c r="O12" s="108" t="n">
        <v>100</v>
      </c>
      <c r="P12" s="108" t="n">
        <f aca="false">IF(ISBLANK(M12),"",M12*O12)</f>
        <v>100</v>
      </c>
      <c r="Q12" s="103"/>
      <c r="R12" s="113" t="n">
        <v>1</v>
      </c>
      <c r="S12" s="36" t="s">
        <v>209</v>
      </c>
      <c r="T12" s="108" t="n">
        <v>100</v>
      </c>
      <c r="U12" s="108" t="n">
        <f aca="false">IF(ISBLANK(R12),"",R12*T12)</f>
        <v>100</v>
      </c>
      <c r="V12" s="103"/>
      <c r="W12" s="113"/>
      <c r="X12" s="36" t="s">
        <v>209</v>
      </c>
      <c r="Y12" s="108"/>
      <c r="Z12" s="108" t="str">
        <f aca="false">IF(ISBLANK(W12),"",W12*Y12)</f>
        <v/>
      </c>
      <c r="AA12" s="103"/>
      <c r="AB12" s="113"/>
      <c r="AC12" s="36" t="s">
        <v>209</v>
      </c>
      <c r="AD12" s="108"/>
      <c r="AE12" s="108" t="str">
        <f aca="false">IF(ISBLANK(AB12),"",AB12*AD12)</f>
        <v/>
      </c>
      <c r="AF12" s="103"/>
      <c r="AG12" s="113"/>
      <c r="AH12" s="36" t="s">
        <v>209</v>
      </c>
      <c r="AI12" s="108"/>
      <c r="AJ12" s="108" t="str">
        <f aca="false">IF(ISBLANK(AG12),"",AG12*AI12)</f>
        <v/>
      </c>
      <c r="AK12" s="103"/>
      <c r="AL12" s="113"/>
      <c r="AM12" s="36" t="s">
        <v>209</v>
      </c>
      <c r="AN12" s="108"/>
      <c r="AO12" s="108" t="str">
        <f aca="false">IF(ISBLANK(AL12),"",AL12*AN12)</f>
        <v/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608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/>
      <c r="X14" s="36" t="s">
        <v>116</v>
      </c>
      <c r="Y14" s="108"/>
      <c r="Z14" s="108" t="str">
        <f aca="false">IF(ISBLANK(W14),"",W14*Y14)</f>
        <v/>
      </c>
      <c r="AA14" s="103"/>
      <c r="AB14" s="113"/>
      <c r="AC14" s="36" t="s">
        <v>116</v>
      </c>
      <c r="AD14" s="108"/>
      <c r="AE14" s="108" t="str">
        <f aca="false">IF(ISBLANK(AB14),"",AB14*AD14)</f>
        <v/>
      </c>
      <c r="AF14" s="103"/>
      <c r="AG14" s="113"/>
      <c r="AH14" s="36" t="s">
        <v>116</v>
      </c>
      <c r="AI14" s="108"/>
      <c r="AJ14" s="108" t="str">
        <f aca="false">IF(ISBLANK(AG14),"",AG14*AI14)</f>
        <v/>
      </c>
      <c r="AK14" s="103"/>
      <c r="AL14" s="113"/>
      <c r="AM14" s="36" t="s">
        <v>116</v>
      </c>
      <c r="AN14" s="108"/>
      <c r="AO14" s="108" t="str">
        <f aca="false">IF(ISBLANK(AL14),"",AL14*AN14)</f>
        <v/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609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/>
      <c r="X16" s="36" t="s">
        <v>116</v>
      </c>
      <c r="Y16" s="108"/>
      <c r="Z16" s="108" t="str">
        <f aca="false">IF(ISBLANK(W16),"",W16*Y16)</f>
        <v/>
      </c>
      <c r="AA16" s="103"/>
      <c r="AB16" s="113"/>
      <c r="AC16" s="36" t="s">
        <v>116</v>
      </c>
      <c r="AD16" s="108"/>
      <c r="AE16" s="108" t="str">
        <f aca="false">IF(ISBLANK(AB16),"",AB16*AD16)</f>
        <v/>
      </c>
      <c r="AF16" s="103"/>
      <c r="AG16" s="113"/>
      <c r="AH16" s="36" t="s">
        <v>116</v>
      </c>
      <c r="AI16" s="108"/>
      <c r="AJ16" s="108" t="str">
        <f aca="false">IF(ISBLANK(AG16),"",AG16*AI16)</f>
        <v/>
      </c>
      <c r="AK16" s="103"/>
      <c r="AL16" s="113"/>
      <c r="AM16" s="36" t="s">
        <v>116</v>
      </c>
      <c r="AN16" s="108"/>
      <c r="AO16" s="108" t="str">
        <f aca="false">IF(ISBLANK(AL16),"",AL16*AN16)</f>
        <v/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610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/>
      <c r="X18" s="36" t="s">
        <v>116</v>
      </c>
      <c r="Y18" s="108"/>
      <c r="Z18" s="108" t="str">
        <f aca="false">IF(ISBLANK(W18),"",W18*Y18)</f>
        <v/>
      </c>
      <c r="AA18" s="103"/>
      <c r="AB18" s="113"/>
      <c r="AC18" s="36" t="s">
        <v>116</v>
      </c>
      <c r="AD18" s="108"/>
      <c r="AE18" s="108" t="str">
        <f aca="false">IF(ISBLANK(AB18),"",AB18*AD18)</f>
        <v/>
      </c>
      <c r="AF18" s="103"/>
      <c r="AG18" s="113"/>
      <c r="AH18" s="36" t="s">
        <v>116</v>
      </c>
      <c r="AI18" s="108"/>
      <c r="AJ18" s="108" t="str">
        <f aca="false">IF(ISBLANK(AG18),"",AG18*AI18)</f>
        <v/>
      </c>
      <c r="AK18" s="103"/>
      <c r="AL18" s="113"/>
      <c r="AM18" s="36" t="s">
        <v>116</v>
      </c>
      <c r="AN18" s="108"/>
      <c r="AO18" s="108" t="str">
        <f aca="false">IF(ISBLANK(AL18),"",AL18*AN18)</f>
        <v/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611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/>
      <c r="X20" s="36" t="s">
        <v>116</v>
      </c>
      <c r="Y20" s="108"/>
      <c r="Z20" s="108" t="str">
        <f aca="false">IF(ISBLANK(W20),"",W20*Y20)</f>
        <v/>
      </c>
      <c r="AA20" s="103"/>
      <c r="AB20" s="113"/>
      <c r="AC20" s="36" t="s">
        <v>116</v>
      </c>
      <c r="AD20" s="108"/>
      <c r="AE20" s="108" t="str">
        <f aca="false">IF(ISBLANK(AB20),"",AB20*AD20)</f>
        <v/>
      </c>
      <c r="AF20" s="103"/>
      <c r="AG20" s="113"/>
      <c r="AH20" s="36" t="s">
        <v>116</v>
      </c>
      <c r="AI20" s="108"/>
      <c r="AJ20" s="108" t="str">
        <f aca="false">IF(ISBLANK(AG20),"",AG20*AI20)</f>
        <v/>
      </c>
      <c r="AK20" s="103"/>
      <c r="AL20" s="113"/>
      <c r="AM20" s="36" t="s">
        <v>116</v>
      </c>
      <c r="AN20" s="108"/>
      <c r="AO20" s="108" t="str">
        <f aca="false">IF(ISBLANK(AL20),"",AL20*AN20)</f>
        <v/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563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/>
      <c r="X22" s="36" t="s">
        <v>116</v>
      </c>
      <c r="Y22" s="108"/>
      <c r="Z22" s="108" t="str">
        <f aca="false">IF(ISBLANK(W22),"",W22*Y22)</f>
        <v/>
      </c>
      <c r="AA22" s="103"/>
      <c r="AB22" s="113"/>
      <c r="AC22" s="36" t="s">
        <v>116</v>
      </c>
      <c r="AD22" s="108"/>
      <c r="AE22" s="108" t="str">
        <f aca="false">IF(ISBLANK(AB22),"",AB22*AD22)</f>
        <v/>
      </c>
      <c r="AF22" s="103"/>
      <c r="AG22" s="113"/>
      <c r="AH22" s="36" t="s">
        <v>116</v>
      </c>
      <c r="AI22" s="108"/>
      <c r="AJ22" s="108" t="str">
        <f aca="false">IF(ISBLANK(AG22),"",AG22*AI22)</f>
        <v/>
      </c>
      <c r="AK22" s="103"/>
      <c r="AL22" s="113"/>
      <c r="AM22" s="36" t="s">
        <v>116</v>
      </c>
      <c r="AN22" s="108"/>
      <c r="AO22" s="108" t="str">
        <f aca="false">IF(ISBLANK(AL22),"",AL22*AN22)</f>
        <v/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612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/>
      <c r="X24" s="36" t="s">
        <v>116</v>
      </c>
      <c r="Y24" s="108"/>
      <c r="Z24" s="108" t="str">
        <f aca="false">IF(ISBLANK(W24),"",W24*Y24)</f>
        <v/>
      </c>
      <c r="AA24" s="103"/>
      <c r="AB24" s="113"/>
      <c r="AC24" s="36" t="s">
        <v>116</v>
      </c>
      <c r="AD24" s="108"/>
      <c r="AE24" s="108" t="str">
        <f aca="false">IF(ISBLANK(AB24),"",AB24*AD24)</f>
        <v/>
      </c>
      <c r="AF24" s="103"/>
      <c r="AG24" s="113"/>
      <c r="AH24" s="36" t="s">
        <v>116</v>
      </c>
      <c r="AI24" s="108"/>
      <c r="AJ24" s="108" t="str">
        <f aca="false">IF(ISBLANK(AG24),"",AG24*AI24)</f>
        <v/>
      </c>
      <c r="AK24" s="103"/>
      <c r="AL24" s="113"/>
      <c r="AM24" s="36" t="s">
        <v>116</v>
      </c>
      <c r="AN24" s="108"/>
      <c r="AO24" s="108" t="str">
        <f aca="false">IF(ISBLANK(AL24),"",AL24*AN24)</f>
        <v/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613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/>
      <c r="X26" s="36" t="s">
        <v>116</v>
      </c>
      <c r="Y26" s="108"/>
      <c r="Z26" s="108" t="str">
        <f aca="false">IF(ISBLANK(W26),"",W26*Y26)</f>
        <v/>
      </c>
      <c r="AA26" s="103"/>
      <c r="AB26" s="113"/>
      <c r="AC26" s="36" t="s">
        <v>116</v>
      </c>
      <c r="AD26" s="108"/>
      <c r="AE26" s="108" t="str">
        <f aca="false">IF(ISBLANK(AB26),"",AB26*AD26)</f>
        <v/>
      </c>
      <c r="AF26" s="103"/>
      <c r="AG26" s="113"/>
      <c r="AH26" s="36" t="s">
        <v>116</v>
      </c>
      <c r="AI26" s="108"/>
      <c r="AJ26" s="108" t="str">
        <f aca="false">IF(ISBLANK(AG26),"",AG26*AI26)</f>
        <v/>
      </c>
      <c r="AK26" s="103"/>
      <c r="AL26" s="113"/>
      <c r="AM26" s="36" t="s">
        <v>116</v>
      </c>
      <c r="AN26" s="108"/>
      <c r="AO26" s="108" t="str">
        <f aca="false">IF(ISBLANK(AL26),"",AL26*AN26)</f>
        <v/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614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/>
      <c r="X28" s="36" t="s">
        <v>116</v>
      </c>
      <c r="Y28" s="108"/>
      <c r="Z28" s="108" t="str">
        <f aca="false">IF(ISBLANK(W28),"",W28*Y28)</f>
        <v/>
      </c>
      <c r="AA28" s="103"/>
      <c r="AB28" s="113"/>
      <c r="AC28" s="36" t="s">
        <v>116</v>
      </c>
      <c r="AD28" s="108"/>
      <c r="AE28" s="108" t="str">
        <f aca="false">IF(ISBLANK(AB28),"",AB28*AD28)</f>
        <v/>
      </c>
      <c r="AF28" s="103"/>
      <c r="AG28" s="113"/>
      <c r="AH28" s="36" t="s">
        <v>116</v>
      </c>
      <c r="AI28" s="108"/>
      <c r="AJ28" s="108" t="str">
        <f aca="false">IF(ISBLANK(AG28),"",AG28*AI28)</f>
        <v/>
      </c>
      <c r="AK28" s="103"/>
      <c r="AL28" s="113"/>
      <c r="AM28" s="36" t="s">
        <v>116</v>
      </c>
      <c r="AN28" s="108"/>
      <c r="AO28" s="108" t="str">
        <f aca="false">IF(ISBLANK(AL28),"",AL28*AN28)</f>
        <v/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615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/>
      <c r="X30" s="36" t="s">
        <v>116</v>
      </c>
      <c r="Y30" s="108"/>
      <c r="Z30" s="108" t="str">
        <f aca="false">IF(ISBLANK(W30),"",W30*Y30)</f>
        <v/>
      </c>
      <c r="AA30" s="103"/>
      <c r="AB30" s="113"/>
      <c r="AC30" s="36" t="s">
        <v>116</v>
      </c>
      <c r="AD30" s="108"/>
      <c r="AE30" s="108" t="str">
        <f aca="false">IF(ISBLANK(AB30),"",AB30*AD30)</f>
        <v/>
      </c>
      <c r="AF30" s="103"/>
      <c r="AG30" s="113"/>
      <c r="AH30" s="36" t="s">
        <v>116</v>
      </c>
      <c r="AI30" s="108"/>
      <c r="AJ30" s="108" t="str">
        <f aca="false">IF(ISBLANK(AG30),"",AG30*AI30)</f>
        <v/>
      </c>
      <c r="AK30" s="103"/>
      <c r="AL30" s="113"/>
      <c r="AM30" s="36" t="s">
        <v>116</v>
      </c>
      <c r="AN30" s="108"/>
      <c r="AO30" s="108" t="str">
        <f aca="false">IF(ISBLANK(AL30),"",AL30*AN30)</f>
        <v/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616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/>
      <c r="X32" s="36" t="s">
        <v>116</v>
      </c>
      <c r="Y32" s="108"/>
      <c r="Z32" s="108" t="str">
        <f aca="false">IF(ISBLANK(W32),"",W32*Y32)</f>
        <v/>
      </c>
      <c r="AA32" s="103"/>
      <c r="AB32" s="113"/>
      <c r="AC32" s="36" t="s">
        <v>116</v>
      </c>
      <c r="AD32" s="108"/>
      <c r="AE32" s="108" t="str">
        <f aca="false">IF(ISBLANK(AB32),"",AB32*AD32)</f>
        <v/>
      </c>
      <c r="AF32" s="103"/>
      <c r="AG32" s="113"/>
      <c r="AH32" s="36" t="s">
        <v>116</v>
      </c>
      <c r="AI32" s="108"/>
      <c r="AJ32" s="108" t="str">
        <f aca="false">IF(ISBLANK(AG32),"",AG32*AI32)</f>
        <v/>
      </c>
      <c r="AK32" s="103"/>
      <c r="AL32" s="113"/>
      <c r="AM32" s="36" t="s">
        <v>116</v>
      </c>
      <c r="AN32" s="108"/>
      <c r="AO32" s="108" t="str">
        <f aca="false">IF(ISBLANK(AL32),"",AL32*AN32)</f>
        <v/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617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/>
      <c r="X34" s="36" t="s">
        <v>116</v>
      </c>
      <c r="Y34" s="108"/>
      <c r="Z34" s="108" t="str">
        <f aca="false">IF(ISBLANK(W34),"",W34*Y34)</f>
        <v/>
      </c>
      <c r="AA34" s="103"/>
      <c r="AB34" s="113"/>
      <c r="AC34" s="36" t="s">
        <v>116</v>
      </c>
      <c r="AD34" s="108"/>
      <c r="AE34" s="108" t="str">
        <f aca="false">IF(ISBLANK(AB34),"",AB34*AD34)</f>
        <v/>
      </c>
      <c r="AF34" s="103"/>
      <c r="AG34" s="113"/>
      <c r="AH34" s="36" t="s">
        <v>116</v>
      </c>
      <c r="AI34" s="108"/>
      <c r="AJ34" s="108" t="str">
        <f aca="false">IF(ISBLANK(AG34),"",AG34*AI34)</f>
        <v/>
      </c>
      <c r="AK34" s="103"/>
      <c r="AL34" s="113"/>
      <c r="AM34" s="36" t="s">
        <v>116</v>
      </c>
      <c r="AN34" s="108"/>
      <c r="AO34" s="108" t="str">
        <f aca="false">IF(ISBLANK(AL34),"",AL34*AN34)</f>
        <v/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618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/>
      <c r="X36" s="36" t="s">
        <v>116</v>
      </c>
      <c r="Y36" s="108"/>
      <c r="Z36" s="108" t="str">
        <f aca="false">IF(ISBLANK(W36),"",W36*Y36)</f>
        <v/>
      </c>
      <c r="AA36" s="103"/>
      <c r="AB36" s="113"/>
      <c r="AC36" s="36" t="s">
        <v>116</v>
      </c>
      <c r="AD36" s="108"/>
      <c r="AE36" s="108" t="str">
        <f aca="false">IF(ISBLANK(AB36),"",AB36*AD36)</f>
        <v/>
      </c>
      <c r="AF36" s="103"/>
      <c r="AG36" s="113"/>
      <c r="AH36" s="36" t="s">
        <v>116</v>
      </c>
      <c r="AI36" s="108"/>
      <c r="AJ36" s="108" t="str">
        <f aca="false">IF(ISBLANK(AG36),"",AG36*AI36)</f>
        <v/>
      </c>
      <c r="AK36" s="103"/>
      <c r="AL36" s="113"/>
      <c r="AM36" s="36" t="s">
        <v>116</v>
      </c>
      <c r="AN36" s="108"/>
      <c r="AO36" s="108" t="str">
        <f aca="false">IF(ISBLANK(AL36),"",AL36*AN36)</f>
        <v/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619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/>
      <c r="X38" s="36" t="s">
        <v>116</v>
      </c>
      <c r="Y38" s="108"/>
      <c r="Z38" s="108" t="str">
        <f aca="false">IF(ISBLANK(W38),"",W38*Y38)</f>
        <v/>
      </c>
      <c r="AA38" s="103"/>
      <c r="AB38" s="113"/>
      <c r="AC38" s="36" t="s">
        <v>116</v>
      </c>
      <c r="AD38" s="108"/>
      <c r="AE38" s="108" t="str">
        <f aca="false">IF(ISBLANK(AB38),"",AB38*AD38)</f>
        <v/>
      </c>
      <c r="AF38" s="103"/>
      <c r="AG38" s="113"/>
      <c r="AH38" s="36" t="s">
        <v>116</v>
      </c>
      <c r="AI38" s="108"/>
      <c r="AJ38" s="108" t="str">
        <f aca="false">IF(ISBLANK(AG38),"",AG38*AI38)</f>
        <v/>
      </c>
      <c r="AK38" s="103"/>
      <c r="AL38" s="113"/>
      <c r="AM38" s="36" t="s">
        <v>116</v>
      </c>
      <c r="AN38" s="108"/>
      <c r="AO38" s="108" t="str">
        <f aca="false">IF(ISBLANK(AL38),"",AL38*AN38)</f>
        <v/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620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/>
      <c r="X40" s="36" t="s">
        <v>116</v>
      </c>
      <c r="Y40" s="108"/>
      <c r="Z40" s="108" t="str">
        <f aca="false">IF(ISBLANK(W40),"",W40*Y40)</f>
        <v/>
      </c>
      <c r="AA40" s="103"/>
      <c r="AB40" s="113"/>
      <c r="AC40" s="36" t="s">
        <v>116</v>
      </c>
      <c r="AD40" s="108"/>
      <c r="AE40" s="108" t="str">
        <f aca="false">IF(ISBLANK(AB40),"",AB40*AD40)</f>
        <v/>
      </c>
      <c r="AF40" s="103"/>
      <c r="AG40" s="113"/>
      <c r="AH40" s="36" t="s">
        <v>116</v>
      </c>
      <c r="AI40" s="108"/>
      <c r="AJ40" s="108" t="str">
        <f aca="false">IF(ISBLANK(AG40),"",AG40*AI40)</f>
        <v/>
      </c>
      <c r="AK40" s="103"/>
      <c r="AL40" s="113"/>
      <c r="AM40" s="36" t="s">
        <v>116</v>
      </c>
      <c r="AN40" s="108"/>
      <c r="AO40" s="108" t="str">
        <f aca="false">IF(ISBLANK(AL40),"",AL40*AN40)</f>
        <v/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621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/>
      <c r="X42" s="36" t="s">
        <v>116</v>
      </c>
      <c r="Y42" s="108"/>
      <c r="Z42" s="108" t="str">
        <f aca="false">IF(ISBLANK(W42),"",W42*Y42)</f>
        <v/>
      </c>
      <c r="AA42" s="103"/>
      <c r="AB42" s="113"/>
      <c r="AC42" s="36" t="s">
        <v>116</v>
      </c>
      <c r="AD42" s="108"/>
      <c r="AE42" s="108" t="str">
        <f aca="false">IF(ISBLANK(AB42),"",AB42*AD42)</f>
        <v/>
      </c>
      <c r="AF42" s="103"/>
      <c r="AG42" s="113"/>
      <c r="AH42" s="36" t="s">
        <v>116</v>
      </c>
      <c r="AI42" s="108"/>
      <c r="AJ42" s="108" t="str">
        <f aca="false">IF(ISBLANK(AG42),"",AG42*AI42)</f>
        <v/>
      </c>
      <c r="AK42" s="103"/>
      <c r="AL42" s="113"/>
      <c r="AM42" s="36" t="s">
        <v>116</v>
      </c>
      <c r="AN42" s="108"/>
      <c r="AO42" s="108" t="str">
        <f aca="false">IF(ISBLANK(AL42),"",AL42*AN42)</f>
        <v/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585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/>
      <c r="X44" s="36" t="s">
        <v>116</v>
      </c>
      <c r="Y44" s="108"/>
      <c r="Z44" s="108" t="str">
        <f aca="false">IF(ISBLANK(W44),"",W44*Y44)</f>
        <v/>
      </c>
      <c r="AA44" s="103"/>
      <c r="AB44" s="113"/>
      <c r="AC44" s="36" t="s">
        <v>116</v>
      </c>
      <c r="AD44" s="108"/>
      <c r="AE44" s="108" t="str">
        <f aca="false">IF(ISBLANK(AB44),"",AB44*AD44)</f>
        <v/>
      </c>
      <c r="AF44" s="103"/>
      <c r="AG44" s="113"/>
      <c r="AH44" s="36" t="s">
        <v>116</v>
      </c>
      <c r="AI44" s="108"/>
      <c r="AJ44" s="108" t="str">
        <f aca="false">IF(ISBLANK(AG44),"",AG44*AI44)</f>
        <v/>
      </c>
      <c r="AK44" s="103"/>
      <c r="AL44" s="113"/>
      <c r="AM44" s="36" t="s">
        <v>116</v>
      </c>
      <c r="AN44" s="108"/>
      <c r="AO44" s="108" t="str">
        <f aca="false">IF(ISBLANK(AL44),"",AL44*AN44)</f>
        <v/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622</v>
      </c>
      <c r="C46" s="113" t="n">
        <v>1</v>
      </c>
      <c r="D46" s="36" t="s">
        <v>209</v>
      </c>
      <c r="E46" s="108" t="n">
        <v>100</v>
      </c>
      <c r="F46" s="108" t="n">
        <f aca="false">IF(ISBLANK(C46),"",C46*E46)</f>
        <v>100</v>
      </c>
      <c r="G46" s="103"/>
      <c r="H46" s="113" t="n">
        <v>1</v>
      </c>
      <c r="I46" s="36" t="s">
        <v>209</v>
      </c>
      <c r="J46" s="108" t="n">
        <v>100</v>
      </c>
      <c r="K46" s="108" t="n">
        <f aca="false">IF(ISBLANK(H46),"",H46*J46)</f>
        <v>100</v>
      </c>
      <c r="L46" s="103"/>
      <c r="M46" s="113" t="n">
        <v>1</v>
      </c>
      <c r="N46" s="36" t="s">
        <v>209</v>
      </c>
      <c r="O46" s="108" t="n">
        <v>100</v>
      </c>
      <c r="P46" s="108" t="n">
        <f aca="false">IF(ISBLANK(M46),"",M46*O46)</f>
        <v>100</v>
      </c>
      <c r="Q46" s="103"/>
      <c r="R46" s="113" t="n">
        <v>1</v>
      </c>
      <c r="S46" s="36" t="s">
        <v>209</v>
      </c>
      <c r="T46" s="108" t="n">
        <v>100</v>
      </c>
      <c r="U46" s="108" t="n">
        <f aca="false">IF(ISBLANK(R46),"",R46*T46)</f>
        <v>100</v>
      </c>
      <c r="V46" s="103"/>
      <c r="W46" s="113"/>
      <c r="X46" s="36" t="s">
        <v>209</v>
      </c>
      <c r="Y46" s="108"/>
      <c r="Z46" s="108" t="str">
        <f aca="false">IF(ISBLANK(W46),"",W46*Y46)</f>
        <v/>
      </c>
      <c r="AA46" s="103"/>
      <c r="AB46" s="113"/>
      <c r="AC46" s="36" t="s">
        <v>209</v>
      </c>
      <c r="AD46" s="108"/>
      <c r="AE46" s="108" t="str">
        <f aca="false">IF(ISBLANK(AB46),"",AB46*AD46)</f>
        <v/>
      </c>
      <c r="AF46" s="103"/>
      <c r="AG46" s="113"/>
      <c r="AH46" s="36" t="s">
        <v>209</v>
      </c>
      <c r="AI46" s="108"/>
      <c r="AJ46" s="108" t="str">
        <f aca="false">IF(ISBLANK(AG46),"",AG46*AI46)</f>
        <v/>
      </c>
      <c r="AK46" s="103"/>
      <c r="AL46" s="113"/>
      <c r="AM46" s="36" t="s">
        <v>209</v>
      </c>
      <c r="AN46" s="108"/>
      <c r="AO46" s="108" t="str">
        <f aca="false">IF(ISBLANK(AL46),"",AL46*AN46)</f>
        <v/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16400</v>
      </c>
      <c r="G54" s="103"/>
      <c r="H54" s="98"/>
      <c r="I54" s="98"/>
      <c r="J54" s="117" t="s">
        <v>177</v>
      </c>
      <c r="K54" s="117" t="n">
        <f aca="false">SUM(K5:K53)</f>
        <v>16400</v>
      </c>
      <c r="L54" s="103"/>
      <c r="M54" s="98"/>
      <c r="N54" s="98"/>
      <c r="O54" s="117" t="s">
        <v>177</v>
      </c>
      <c r="P54" s="117" t="n">
        <f aca="false">SUM(P5:P53)</f>
        <v>16400</v>
      </c>
      <c r="Q54" s="103"/>
      <c r="R54" s="98"/>
      <c r="S54" s="98"/>
      <c r="T54" s="117" t="s">
        <v>177</v>
      </c>
      <c r="U54" s="117" t="n">
        <f aca="false">SUM(U5:U53)</f>
        <v>16400</v>
      </c>
      <c r="V54" s="103"/>
      <c r="W54" s="98"/>
      <c r="X54" s="98"/>
      <c r="Y54" s="117" t="s">
        <v>177</v>
      </c>
      <c r="Z54" s="117" t="n">
        <f aca="false">SUM(Z5:Z53)</f>
        <v>0</v>
      </c>
      <c r="AA54" s="103"/>
      <c r="AB54" s="98"/>
      <c r="AC54" s="98"/>
      <c r="AD54" s="117" t="s">
        <v>177</v>
      </c>
      <c r="AE54" s="117" t="n">
        <f aca="false">SUM(AE5:AE53)</f>
        <v>0</v>
      </c>
      <c r="AF54" s="103"/>
      <c r="AG54" s="98"/>
      <c r="AH54" s="98"/>
      <c r="AI54" s="117" t="s">
        <v>177</v>
      </c>
      <c r="AJ54" s="117" t="n">
        <f aca="false">SUM(AJ5:AJ53)</f>
        <v>0</v>
      </c>
      <c r="AK54" s="103"/>
      <c r="AL54" s="98"/>
      <c r="AM54" s="98"/>
      <c r="AN54" s="117" t="s">
        <v>177</v>
      </c>
      <c r="AO54" s="117" t="n">
        <f aca="false">SUM(AO5:AO53)</f>
        <v>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5.7 Communication security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5.7 Communication security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70" t="s">
        <v>623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624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553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625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626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627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628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629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630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631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632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633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634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635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636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637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638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621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585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639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5.8 Specialist installations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5.8 Specialist installations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640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641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553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642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643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644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645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646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647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648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649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650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651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652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653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654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655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656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585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639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5.9 BWIC with services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5.9 BWIC with services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657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658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659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660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661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662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663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664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665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666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667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618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668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669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670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671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672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673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674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675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5.10 Testing &amp; Commissioning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5.10 Testing &amp; Commissioning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70" t="s">
        <v>676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677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659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678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679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680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681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682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683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684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685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686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687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688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689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690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691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692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693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694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6.1 Prefab buildings &amp; units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6.1 Prefab buildings &amp; units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695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696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697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698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699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700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701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702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703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704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705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706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707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708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709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710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711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712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713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415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7.1 Minor demolition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7.1 Minor demolition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70" t="s">
        <v>714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715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716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717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718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719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720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721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722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723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724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725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726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727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728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729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730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731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732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675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7.2 Repairs to existing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7.2 Repairs to existing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733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734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735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736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737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738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739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740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741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742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743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744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745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746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747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748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749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750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751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752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7.3 Damp proof courses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7.3 Damp proof courses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70" t="s">
        <v>753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754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755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756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757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758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759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760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761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762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763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764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765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766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767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768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769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770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771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772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7.4 Facade retention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7.4 Facade retention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773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774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775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776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777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778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779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780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781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782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783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784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785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786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787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788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789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790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791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792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7.5 Cleaning existing surfaces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7.5 Cleaning existing surfaces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793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794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755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795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796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797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798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799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800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801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802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803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804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805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806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807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808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809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810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811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7.6 Renovation works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7.6 Renovation works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812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813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814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815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816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817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818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819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820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821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822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823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824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825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826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827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828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829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830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831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8.1 Site preparation works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8.1 Site preparation works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832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833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834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835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836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837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838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839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840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841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842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843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844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845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846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847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848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849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850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851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8.2 Roads paths pavings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8.2 Roads paths pavings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70" t="s">
        <v>852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853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854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855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856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857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858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859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860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861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862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863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864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865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866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867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868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869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870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811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8.3 Soft landscapes planting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8.3 Soft landscapes planting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871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872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873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874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875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876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877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878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879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880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881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882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883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884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885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886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887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888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889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890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8.4 Fencing railings &amp; walls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8.4 Fencing railings &amp; walls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891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892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893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894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895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896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897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898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899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900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901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902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903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904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905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906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907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908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909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792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8.5 External fixtures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8.5 External fixtures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910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911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912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913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914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915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916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917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918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919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920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921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922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923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924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925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926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927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907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792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8.6 External drainage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8.6 External drainage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928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929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873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930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931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932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933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934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935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936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937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938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939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940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941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942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943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944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945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792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8.7 External services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8.7 External services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946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947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948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949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950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951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952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953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954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955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956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957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958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959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960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961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962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963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964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792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4.25" hidden="false" customHeight="true" outlineLevel="0" collapsed="false">
      <c r="A47" s="109"/>
      <c r="B47" s="1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5"/>
  <sheetViews>
    <sheetView showFormulas="false" showGridLines="true" showRowColHeaders="true" showZeros="true" rightToLeft="false" tabSelected="false" showOutlineSymbols="true" defaultGridColor="true" view="normal" topLeftCell="L1" colorId="64" zoomScale="80" zoomScaleNormal="8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8.8 Minor building &amp; ancillary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8.8 Minor building &amp; ancillary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22.5" hidden="false" customHeight="true" outlineLevel="0" collapsed="false">
      <c r="A8" s="174" t="n">
        <f aca="false">IF(B8&gt;0,IF(C8&gt;0,MAX($A$5:A7)+1," ")," ")</f>
        <v>1</v>
      </c>
      <c r="B8" s="70" t="s">
        <v>965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966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967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968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969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970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971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972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973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974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975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976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977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978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979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980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981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982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983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792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  <row r="55" customFormat="false" ht="12" hidden="false" customHeight="true" outlineLevel="0" collapsed="false">
      <c r="A55" s="98"/>
      <c r="B55" s="98"/>
      <c r="C55" s="98"/>
      <c r="D55" s="98"/>
      <c r="E55" s="117"/>
      <c r="F55" s="117"/>
      <c r="G55" s="103"/>
      <c r="H55" s="98"/>
      <c r="I55" s="98"/>
      <c r="J55" s="117"/>
      <c r="K55" s="117"/>
      <c r="L55" s="103"/>
      <c r="M55" s="98"/>
      <c r="N55" s="98"/>
      <c r="O55" s="117"/>
      <c r="P55" s="117"/>
      <c r="Q55" s="103"/>
      <c r="R55" s="98"/>
      <c r="S55" s="98"/>
      <c r="T55" s="117"/>
      <c r="U55" s="117"/>
      <c r="V55" s="103"/>
      <c r="W55" s="98"/>
      <c r="X55" s="98"/>
      <c r="Y55" s="117"/>
      <c r="Z55" s="117"/>
      <c r="AA55" s="103"/>
      <c r="AB55" s="98"/>
      <c r="AC55" s="98"/>
      <c r="AD55" s="117"/>
      <c r="AE55" s="117"/>
      <c r="AF55" s="103"/>
      <c r="AG55" s="98"/>
      <c r="AH55" s="98"/>
      <c r="AI55" s="117"/>
      <c r="AJ55" s="117"/>
      <c r="AK55" s="103"/>
      <c r="AL55" s="98"/>
      <c r="AM55" s="98"/>
      <c r="AN55" s="117"/>
      <c r="AO55" s="117"/>
      <c r="AP55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9.0 Contractor's preliminaries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9.0 Contractor's preliminaries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984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985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986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987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988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989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990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991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992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993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994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995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996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997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998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999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1000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1001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1002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1003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Q1" colorId="64" zoomScale="90" zoomScaleNormal="9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10.0 Contractor's overheads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10.0 Contractor's overheads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1004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1005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1006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1007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1008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1009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1010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1011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1012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1013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1014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1015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1016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1017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1018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1019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1020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1021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1022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1023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N8" activeCellId="0" sqref="AN8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11.1 Consultant fees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11.1 Consultant fees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1024</v>
      </c>
      <c r="C8" s="113" t="n">
        <v>1</v>
      </c>
      <c r="D8" s="36" t="s">
        <v>209</v>
      </c>
      <c r="E8" s="108" t="n">
        <v>25000</v>
      </c>
      <c r="F8" s="108" t="n">
        <f aca="false">IF(ISBLANK(C8),"",C8*E8)</f>
        <v>25000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1025</v>
      </c>
      <c r="C10" s="113" t="n">
        <v>1</v>
      </c>
      <c r="D10" s="36" t="s">
        <v>209</v>
      </c>
      <c r="E10" s="108" t="n">
        <v>25000</v>
      </c>
      <c r="F10" s="108" t="n">
        <f aca="false">IF(ISBLANK(C10),"",C10*E10)</f>
        <v>25000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1026</v>
      </c>
      <c r="C12" s="113" t="n">
        <v>1</v>
      </c>
      <c r="D12" s="36" t="s">
        <v>209</v>
      </c>
      <c r="E12" s="108" t="n">
        <v>25000</v>
      </c>
      <c r="F12" s="108" t="n">
        <f aca="false">IF(ISBLANK(C12),"",C12*E12)</f>
        <v>25000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1027</v>
      </c>
      <c r="C14" s="113" t="n">
        <v>1</v>
      </c>
      <c r="D14" s="36" t="s">
        <v>209</v>
      </c>
      <c r="E14" s="108" t="n">
        <v>25000</v>
      </c>
      <c r="F14" s="108" t="n">
        <f aca="false">IF(ISBLANK(C14),"",C14*E14)</f>
        <v>25000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1028</v>
      </c>
      <c r="C16" s="113" t="n">
        <v>1</v>
      </c>
      <c r="D16" s="36" t="s">
        <v>209</v>
      </c>
      <c r="E16" s="108" t="n">
        <v>25000</v>
      </c>
      <c r="F16" s="108" t="n">
        <f aca="false">IF(ISBLANK(C16),"",C16*E16)</f>
        <v>25000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1029</v>
      </c>
      <c r="C18" s="113" t="n">
        <v>1</v>
      </c>
      <c r="D18" s="36" t="s">
        <v>209</v>
      </c>
      <c r="E18" s="108" t="n">
        <v>25000</v>
      </c>
      <c r="F18" s="108" t="n">
        <f aca="false">IF(ISBLANK(C18),"",C18*E18)</f>
        <v>25000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1030</v>
      </c>
      <c r="C20" s="113" t="n">
        <v>1</v>
      </c>
      <c r="D20" s="36" t="s">
        <v>209</v>
      </c>
      <c r="E20" s="108" t="n">
        <v>25000</v>
      </c>
      <c r="F20" s="108" t="n">
        <f aca="false">IF(ISBLANK(C20),"",C20*E20)</f>
        <v>25000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1031</v>
      </c>
      <c r="C22" s="113" t="n">
        <v>1</v>
      </c>
      <c r="D22" s="36" t="s">
        <v>209</v>
      </c>
      <c r="E22" s="108" t="n">
        <v>25000</v>
      </c>
      <c r="F22" s="108" t="n">
        <f aca="false">IF(ISBLANK(C22),"",C22*E22)</f>
        <v>25000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1032</v>
      </c>
      <c r="C24" s="113" t="n">
        <v>1</v>
      </c>
      <c r="D24" s="36" t="s">
        <v>209</v>
      </c>
      <c r="E24" s="108" t="n">
        <v>25000</v>
      </c>
      <c r="F24" s="108" t="n">
        <f aca="false">IF(ISBLANK(C24),"",C24*E24)</f>
        <v>25000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1033</v>
      </c>
      <c r="C26" s="113" t="n">
        <v>1</v>
      </c>
      <c r="D26" s="36" t="s">
        <v>209</v>
      </c>
      <c r="E26" s="108" t="n">
        <v>25000</v>
      </c>
      <c r="F26" s="108" t="n">
        <f aca="false">IF(ISBLANK(C26),"",C26*E26)</f>
        <v>25000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1034</v>
      </c>
      <c r="C28" s="113" t="n">
        <v>1</v>
      </c>
      <c r="D28" s="36" t="s">
        <v>209</v>
      </c>
      <c r="E28" s="108" t="n">
        <v>25000</v>
      </c>
      <c r="F28" s="108" t="n">
        <f aca="false">IF(ISBLANK(C28),"",C28*E28)</f>
        <v>25000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1035</v>
      </c>
      <c r="C30" s="113" t="n">
        <v>1</v>
      </c>
      <c r="D30" s="36" t="s">
        <v>209</v>
      </c>
      <c r="E30" s="108" t="n">
        <v>25000</v>
      </c>
      <c r="F30" s="108" t="n">
        <f aca="false">IF(ISBLANK(C30),"",C30*E30)</f>
        <v>25000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1036</v>
      </c>
      <c r="C32" s="113" t="n">
        <v>1</v>
      </c>
      <c r="D32" s="36" t="s">
        <v>209</v>
      </c>
      <c r="E32" s="108" t="n">
        <v>25000</v>
      </c>
      <c r="F32" s="108" t="n">
        <f aca="false">IF(ISBLANK(C32),"",C32*E32)</f>
        <v>25000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1037</v>
      </c>
      <c r="C34" s="113" t="n">
        <v>1</v>
      </c>
      <c r="D34" s="36" t="s">
        <v>209</v>
      </c>
      <c r="E34" s="108" t="n">
        <v>25000</v>
      </c>
      <c r="F34" s="108" t="n">
        <f aca="false">IF(ISBLANK(C34),"",C34*E34)</f>
        <v>25000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1038</v>
      </c>
      <c r="C36" s="113" t="n">
        <v>1</v>
      </c>
      <c r="D36" s="36" t="s">
        <v>209</v>
      </c>
      <c r="E36" s="108" t="n">
        <v>25000</v>
      </c>
      <c r="F36" s="108" t="n">
        <f aca="false">IF(ISBLANK(C36),"",C36*E36)</f>
        <v>25000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1039</v>
      </c>
      <c r="C38" s="113" t="n">
        <v>1</v>
      </c>
      <c r="D38" s="36" t="s">
        <v>209</v>
      </c>
      <c r="E38" s="108" t="n">
        <v>25000</v>
      </c>
      <c r="F38" s="108" t="n">
        <f aca="false">IF(ISBLANK(C38),"",C38*E38)</f>
        <v>25000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1040</v>
      </c>
      <c r="C40" s="113" t="n">
        <v>1</v>
      </c>
      <c r="D40" s="36" t="s">
        <v>209</v>
      </c>
      <c r="E40" s="108" t="n">
        <v>25000</v>
      </c>
      <c r="F40" s="108" t="n">
        <f aca="false">IF(ISBLANK(C40),"",C40*E40)</f>
        <v>25000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1041</v>
      </c>
      <c r="C42" s="113" t="n">
        <v>1</v>
      </c>
      <c r="D42" s="36" t="s">
        <v>209</v>
      </c>
      <c r="E42" s="108" t="n">
        <v>25000</v>
      </c>
      <c r="F42" s="108" t="n">
        <f aca="false">IF(ISBLANK(C42),"",C42*E42)</f>
        <v>25000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1042</v>
      </c>
      <c r="C44" s="113" t="n">
        <v>1</v>
      </c>
      <c r="D44" s="36" t="s">
        <v>209</v>
      </c>
      <c r="E44" s="108" t="n">
        <v>25000</v>
      </c>
      <c r="F44" s="108" t="n">
        <f aca="false">IF(ISBLANK(C44),"",C44*E44)</f>
        <v>25000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1043</v>
      </c>
      <c r="C46" s="113" t="n">
        <v>1</v>
      </c>
      <c r="D46" s="36" t="s">
        <v>209</v>
      </c>
      <c r="E46" s="108" t="n">
        <v>25000</v>
      </c>
      <c r="F46" s="108" t="n">
        <f aca="false">IF(ISBLANK(C46),"",C46*E46)</f>
        <v>25000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500000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11.2 Contractor's pre-con fees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11.2 Contractor's pre-con fees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1044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1045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1046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1047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1048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1049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1050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1051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1052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1053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1054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1055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1056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1057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1058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1059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1060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1061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1062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1063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L1" colorId="64" zoomScale="80" zoomScaleNormal="8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11.3 Contractor's design fees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11.3 Contractor's design fees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1064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1065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1066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1067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1068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1069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1070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1071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1072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1073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1074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1075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1076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1077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1078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1079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1080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1081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1082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1083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13.1 Design development risks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13.1 Design development risks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1084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1085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1086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1087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1088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1089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1090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1091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1092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1093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1094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1095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1096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1097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1098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1099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1100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1101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1102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1103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114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9.45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 t="str">
        <f aca="false">SUMMARY!E3</f>
        <v>Sample Cost Plan - Elm Court Residential, Rev 01</v>
      </c>
      <c r="D3" s="99"/>
      <c r="E3" s="99"/>
      <c r="F3" s="99"/>
      <c r="G3" s="100"/>
      <c r="H3" s="99" t="str">
        <f aca="false">SUMMARY!K3</f>
        <v>Ridgeway Construction</v>
      </c>
      <c r="I3" s="99"/>
      <c r="J3" s="99"/>
      <c r="K3" s="99"/>
      <c r="L3" s="100"/>
      <c r="M3" s="99" t="str">
        <f aca="false">SUMMARY!N3</f>
        <v>Brightstone Builders</v>
      </c>
      <c r="N3" s="99"/>
      <c r="O3" s="99"/>
      <c r="P3" s="99"/>
      <c r="Q3" s="100"/>
      <c r="R3" s="99" t="str">
        <f aca="false">SUMMARY!Q3</f>
        <v>Kestrel Contractors</v>
      </c>
      <c r="S3" s="99"/>
      <c r="T3" s="99"/>
      <c r="U3" s="99"/>
      <c r="V3" s="100"/>
      <c r="W3" s="99" t="str">
        <f aca="false">SUMMARY!T3</f>
        <v>INSERT CONTRACTOR 4</v>
      </c>
      <c r="X3" s="99"/>
      <c r="Y3" s="99"/>
      <c r="Z3" s="99"/>
      <c r="AA3" s="100"/>
      <c r="AB3" s="99" t="str">
        <f aca="false">SUMMARY!W3</f>
        <v>INSERT CONTRACTOR 5</v>
      </c>
      <c r="AC3" s="99"/>
      <c r="AD3" s="99"/>
      <c r="AE3" s="99"/>
      <c r="AF3" s="100"/>
      <c r="AG3" s="99" t="str">
        <f aca="false">SUMMARY!Z3</f>
        <v>INSERT CONTRACTOR 6</v>
      </c>
      <c r="AH3" s="99"/>
      <c r="AI3" s="99"/>
      <c r="AJ3" s="99"/>
      <c r="AK3" s="100"/>
      <c r="AL3" s="99" t="str">
        <f aca="false">SUMMARY!AC3</f>
        <v>INSERT CONTRACTOR 7</v>
      </c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13.2 Construction risks</v>
      </c>
      <c r="C4" s="100" t="s">
        <v>112</v>
      </c>
      <c r="D4" s="98" t="s">
        <v>113</v>
      </c>
      <c r="E4" s="103" t="s">
        <v>218</v>
      </c>
      <c r="F4" s="103" t="s">
        <v>177</v>
      </c>
      <c r="G4" s="103"/>
      <c r="H4" s="100" t="s">
        <v>112</v>
      </c>
      <c r="I4" s="98" t="s">
        <v>113</v>
      </c>
      <c r="J4" s="103" t="s">
        <v>218</v>
      </c>
      <c r="K4" s="103" t="s">
        <v>177</v>
      </c>
      <c r="L4" s="103"/>
      <c r="M4" s="100" t="s">
        <v>112</v>
      </c>
      <c r="N4" s="98" t="s">
        <v>113</v>
      </c>
      <c r="O4" s="103" t="s">
        <v>218</v>
      </c>
      <c r="P4" s="103" t="s">
        <v>177</v>
      </c>
      <c r="Q4" s="103"/>
      <c r="R4" s="100" t="s">
        <v>112</v>
      </c>
      <c r="S4" s="98" t="s">
        <v>113</v>
      </c>
      <c r="T4" s="103" t="s">
        <v>218</v>
      </c>
      <c r="U4" s="103" t="s">
        <v>177</v>
      </c>
      <c r="V4" s="103"/>
      <c r="W4" s="100" t="s">
        <v>112</v>
      </c>
      <c r="X4" s="98" t="s">
        <v>113</v>
      </c>
      <c r="Y4" s="103" t="s">
        <v>218</v>
      </c>
      <c r="Z4" s="103" t="s">
        <v>177</v>
      </c>
      <c r="AA4" s="103"/>
      <c r="AB4" s="100" t="s">
        <v>112</v>
      </c>
      <c r="AC4" s="98" t="s">
        <v>113</v>
      </c>
      <c r="AD4" s="103" t="s">
        <v>218</v>
      </c>
      <c r="AE4" s="103" t="s">
        <v>177</v>
      </c>
      <c r="AF4" s="103"/>
      <c r="AG4" s="100" t="s">
        <v>112</v>
      </c>
      <c r="AH4" s="98" t="s">
        <v>113</v>
      </c>
      <c r="AI4" s="103" t="s">
        <v>218</v>
      </c>
      <c r="AJ4" s="103" t="s">
        <v>177</v>
      </c>
      <c r="AK4" s="103"/>
      <c r="AL4" s="100" t="s">
        <v>112</v>
      </c>
      <c r="AM4" s="98" t="s">
        <v>113</v>
      </c>
      <c r="AN4" s="103" t="s">
        <v>218</v>
      </c>
      <c r="AO4" s="103" t="s">
        <v>177</v>
      </c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 t="str">
        <f aca="false">IF(ISBLANK(C5),"",C5*E5)</f>
        <v/>
      </c>
      <c r="G5" s="103"/>
      <c r="H5" s="106"/>
      <c r="I5" s="37"/>
      <c r="J5" s="107"/>
      <c r="K5" s="108" t="str">
        <f aca="false">IF(ISBLANK(H5),"",H5*J5)</f>
        <v/>
      </c>
      <c r="L5" s="103"/>
      <c r="M5" s="106"/>
      <c r="N5" s="37"/>
      <c r="O5" s="107"/>
      <c r="P5" s="108" t="str">
        <f aca="false">IF(ISBLANK(M5),"",M5*O5)</f>
        <v/>
      </c>
      <c r="Q5" s="103"/>
      <c r="R5" s="106"/>
      <c r="S5" s="37"/>
      <c r="T5" s="107"/>
      <c r="U5" s="108" t="str">
        <f aca="false">IF(ISBLANK(R5),"",R5*T5)</f>
        <v/>
      </c>
      <c r="V5" s="103"/>
      <c r="W5" s="106"/>
      <c r="X5" s="37"/>
      <c r="Y5" s="107"/>
      <c r="Z5" s="108" t="str">
        <f aca="false">IF(ISBLANK(W5),"",W5*Y5)</f>
        <v/>
      </c>
      <c r="AA5" s="103"/>
      <c r="AB5" s="106"/>
      <c r="AC5" s="37"/>
      <c r="AD5" s="107"/>
      <c r="AE5" s="108" t="str">
        <f aca="false">IF(ISBLANK(AB5),"",AB5*AD5)</f>
        <v/>
      </c>
      <c r="AF5" s="103"/>
      <c r="AG5" s="106"/>
      <c r="AH5" s="37"/>
      <c r="AI5" s="107"/>
      <c r="AJ5" s="108" t="str">
        <f aca="false">IF(ISBLANK(AG5),"",AG5*AI5)</f>
        <v/>
      </c>
      <c r="AK5" s="103"/>
      <c r="AL5" s="106"/>
      <c r="AM5" s="37"/>
      <c r="AN5" s="107"/>
      <c r="AO5" s="108" t="str">
        <f aca="false">IF(ISBLANK(AL5),"",AL5*AN5)</f>
        <v/>
      </c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13.2 Construction risks</v>
      </c>
      <c r="C6" s="111"/>
      <c r="D6" s="36"/>
      <c r="E6" s="108"/>
      <c r="F6" s="108" t="str">
        <f aca="false">IF(ISBLANK(C6),"",C6*E6)</f>
        <v/>
      </c>
      <c r="G6" s="103"/>
      <c r="H6" s="111"/>
      <c r="I6" s="36"/>
      <c r="J6" s="108"/>
      <c r="K6" s="108" t="str">
        <f aca="false">IF(ISBLANK(H6),"",H6*J6)</f>
        <v/>
      </c>
      <c r="L6" s="103"/>
      <c r="M6" s="111"/>
      <c r="N6" s="36"/>
      <c r="O6" s="108"/>
      <c r="P6" s="108" t="str">
        <f aca="false">IF(ISBLANK(M6),"",M6*O6)</f>
        <v/>
      </c>
      <c r="Q6" s="103"/>
      <c r="R6" s="111"/>
      <c r="S6" s="36"/>
      <c r="T6" s="108"/>
      <c r="U6" s="108" t="str">
        <f aca="false">IF(ISBLANK(R6),"",R6*T6)</f>
        <v/>
      </c>
      <c r="V6" s="103"/>
      <c r="W6" s="111"/>
      <c r="X6" s="36"/>
      <c r="Y6" s="108"/>
      <c r="Z6" s="108" t="str">
        <f aca="false">IF(ISBLANK(W6),"",W6*Y6)</f>
        <v/>
      </c>
      <c r="AA6" s="103"/>
      <c r="AB6" s="111"/>
      <c r="AC6" s="36"/>
      <c r="AD6" s="108"/>
      <c r="AE6" s="108" t="str">
        <f aca="false">IF(ISBLANK(AB6),"",AB6*AD6)</f>
        <v/>
      </c>
      <c r="AF6" s="103"/>
      <c r="AG6" s="111"/>
      <c r="AH6" s="36"/>
      <c r="AI6" s="108"/>
      <c r="AJ6" s="108" t="str">
        <f aca="false">IF(ISBLANK(AG6),"",AG6*AI6)</f>
        <v/>
      </c>
      <c r="AK6" s="103"/>
      <c r="AL6" s="111"/>
      <c r="AM6" s="36"/>
      <c r="AN6" s="108"/>
      <c r="AO6" s="108" t="str">
        <f aca="false">IF(ISBLANK(AL6),"",AL6*AN6)</f>
        <v/>
      </c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74" t="n">
        <f aca="false">IF(B8&gt;0,IF(C8&gt;0,MAX($A$5:A7)+1," ")," ")</f>
        <v>1</v>
      </c>
      <c r="B8" s="70" t="s">
        <v>1104</v>
      </c>
      <c r="C8" s="113" t="n">
        <v>10</v>
      </c>
      <c r="D8" s="36" t="s">
        <v>116</v>
      </c>
      <c r="E8" s="108" t="n">
        <v>100</v>
      </c>
      <c r="F8" s="108" t="n">
        <f aca="false">IF(ISBLANK(C8),"",C8*E8)</f>
        <v>1000</v>
      </c>
      <c r="G8" s="103"/>
      <c r="H8" s="113" t="n">
        <v>10</v>
      </c>
      <c r="I8" s="36" t="s">
        <v>116</v>
      </c>
      <c r="J8" s="108" t="n">
        <v>100</v>
      </c>
      <c r="K8" s="108" t="n">
        <f aca="false">IF(ISBLANK(H8),"",H8*J8)</f>
        <v>1000</v>
      </c>
      <c r="L8" s="103"/>
      <c r="M8" s="113" t="n">
        <v>10</v>
      </c>
      <c r="N8" s="36" t="s">
        <v>116</v>
      </c>
      <c r="O8" s="108" t="n">
        <v>100</v>
      </c>
      <c r="P8" s="108" t="n">
        <f aca="false">IF(ISBLANK(M8),"",M8*O8)</f>
        <v>1000</v>
      </c>
      <c r="Q8" s="103"/>
      <c r="R8" s="113" t="n">
        <v>10</v>
      </c>
      <c r="S8" s="36" t="s">
        <v>116</v>
      </c>
      <c r="T8" s="108" t="n">
        <v>100</v>
      </c>
      <c r="U8" s="108" t="n">
        <f aca="false">IF(ISBLANK(R8),"",R8*T8)</f>
        <v>1000</v>
      </c>
      <c r="V8" s="103"/>
      <c r="W8" s="113" t="n">
        <v>10</v>
      </c>
      <c r="X8" s="36" t="s">
        <v>116</v>
      </c>
      <c r="Y8" s="108" t="n">
        <v>100</v>
      </c>
      <c r="Z8" s="108" t="n">
        <f aca="false">IF(ISBLANK(W8),"",W8*Y8)</f>
        <v>1000</v>
      </c>
      <c r="AA8" s="103"/>
      <c r="AB8" s="113" t="n">
        <v>10</v>
      </c>
      <c r="AC8" s="36" t="s">
        <v>116</v>
      </c>
      <c r="AD8" s="108" t="n">
        <v>150</v>
      </c>
      <c r="AE8" s="108" t="n">
        <f aca="false">IF(ISBLANK(AB8),"",AB8*AD8)</f>
        <v>1500</v>
      </c>
      <c r="AF8" s="103"/>
      <c r="AG8" s="113" t="n">
        <v>10</v>
      </c>
      <c r="AH8" s="36" t="s">
        <v>116</v>
      </c>
      <c r="AI8" s="108" t="n">
        <v>250</v>
      </c>
      <c r="AJ8" s="108" t="n">
        <f aca="false">IF(ISBLANK(AG8),"",AG8*AI8)</f>
        <v>2500</v>
      </c>
      <c r="AK8" s="103"/>
      <c r="AL8" s="113" t="n">
        <v>10</v>
      </c>
      <c r="AM8" s="36" t="s">
        <v>116</v>
      </c>
      <c r="AN8" s="108" t="n">
        <v>250</v>
      </c>
      <c r="AO8" s="108" t="n">
        <f aca="false">IF(ISBLANK(AL8),"",AL8*AN8)</f>
        <v>2500</v>
      </c>
      <c r="AP8" s="103"/>
    </row>
    <row r="9" customFormat="false" ht="11.25" hidden="false" customHeight="true" outlineLevel="0" collapsed="false">
      <c r="A9" s="174" t="str">
        <f aca="false">IF(B9&gt;0,IF(C9&gt;0,MAX($A$5:A8)+1," ")," ")</f>
        <v> </v>
      </c>
      <c r="B9" s="70"/>
      <c r="C9" s="113"/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74" t="n">
        <f aca="false">IF(B10&gt;0,IF(C10&gt;0,MAX($A$5:A9)+1," ")," ")</f>
        <v>2</v>
      </c>
      <c r="B10" s="70" t="s">
        <v>1105</v>
      </c>
      <c r="C10" s="113" t="n">
        <v>10</v>
      </c>
      <c r="D10" s="36" t="s">
        <v>116</v>
      </c>
      <c r="E10" s="108" t="n">
        <v>100</v>
      </c>
      <c r="F10" s="108" t="n">
        <f aca="false">IF(ISBLANK(C10),"",C10*E10)</f>
        <v>1000</v>
      </c>
      <c r="G10" s="103"/>
      <c r="H10" s="113" t="n">
        <v>10</v>
      </c>
      <c r="I10" s="36" t="s">
        <v>116</v>
      </c>
      <c r="J10" s="108" t="n">
        <v>100</v>
      </c>
      <c r="K10" s="108" t="n">
        <f aca="false">IF(ISBLANK(H10),"",H10*J10)</f>
        <v>1000</v>
      </c>
      <c r="L10" s="103"/>
      <c r="M10" s="113" t="n">
        <v>10</v>
      </c>
      <c r="N10" s="36" t="s">
        <v>116</v>
      </c>
      <c r="O10" s="108" t="n">
        <v>100</v>
      </c>
      <c r="P10" s="108" t="n">
        <f aca="false">IF(ISBLANK(M10),"",M10*O10)</f>
        <v>1000</v>
      </c>
      <c r="Q10" s="103"/>
      <c r="R10" s="113" t="n">
        <v>10</v>
      </c>
      <c r="S10" s="36" t="s">
        <v>116</v>
      </c>
      <c r="T10" s="108" t="n">
        <v>100</v>
      </c>
      <c r="U10" s="108" t="n">
        <f aca="false">IF(ISBLANK(R10),"",R10*T10)</f>
        <v>1000</v>
      </c>
      <c r="V10" s="103"/>
      <c r="W10" s="113" t="n">
        <v>10</v>
      </c>
      <c r="X10" s="36" t="s">
        <v>116</v>
      </c>
      <c r="Y10" s="108" t="n">
        <v>100</v>
      </c>
      <c r="Z10" s="108" t="n">
        <f aca="false">IF(ISBLANK(W10),"",W10*Y10)</f>
        <v>1000</v>
      </c>
      <c r="AA10" s="103"/>
      <c r="AB10" s="113" t="n">
        <v>10</v>
      </c>
      <c r="AC10" s="36" t="s">
        <v>116</v>
      </c>
      <c r="AD10" s="108" t="n">
        <v>150</v>
      </c>
      <c r="AE10" s="108" t="n">
        <f aca="false">IF(ISBLANK(AB10),"",AB10*AD10)</f>
        <v>1500</v>
      </c>
      <c r="AF10" s="103"/>
      <c r="AG10" s="113" t="n">
        <v>10</v>
      </c>
      <c r="AH10" s="36" t="s">
        <v>116</v>
      </c>
      <c r="AI10" s="108" t="n">
        <v>100</v>
      </c>
      <c r="AJ10" s="108" t="n">
        <f aca="false">IF(ISBLANK(AG10),"",AG10*AI10)</f>
        <v>1000</v>
      </c>
      <c r="AK10" s="103"/>
      <c r="AL10" s="113" t="n">
        <v>10</v>
      </c>
      <c r="AM10" s="36" t="s">
        <v>116</v>
      </c>
      <c r="AN10" s="108" t="n">
        <v>250</v>
      </c>
      <c r="AO10" s="108" t="n">
        <f aca="false">IF(ISBLANK(AL10),"",AL10*AN10)</f>
        <v>2500</v>
      </c>
      <c r="AP10" s="103"/>
    </row>
    <row r="11" customFormat="false" ht="11.25" hidden="false" customHeight="true" outlineLevel="0" collapsed="false">
      <c r="A11" s="174" t="str">
        <f aca="false">IF(B11&gt;0,IF(C11&gt;0,MAX($A$5:A10)+1," ")," ")</f>
        <v> </v>
      </c>
      <c r="B11" s="70"/>
      <c r="C11" s="113"/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74" t="n">
        <f aca="false">IF(B12&gt;0,IF(C12&gt;0,MAX($A$5:A11)+1," ")," ")</f>
        <v>3</v>
      </c>
      <c r="B12" s="70" t="s">
        <v>1106</v>
      </c>
      <c r="C12" s="113" t="n">
        <v>10</v>
      </c>
      <c r="D12" s="36" t="s">
        <v>116</v>
      </c>
      <c r="E12" s="108" t="n">
        <v>100</v>
      </c>
      <c r="F12" s="108" t="n">
        <f aca="false">IF(ISBLANK(C12),"",C12*E12)</f>
        <v>1000</v>
      </c>
      <c r="G12" s="103"/>
      <c r="H12" s="113" t="n">
        <v>10</v>
      </c>
      <c r="I12" s="36" t="s">
        <v>116</v>
      </c>
      <c r="J12" s="108" t="n">
        <v>100</v>
      </c>
      <c r="K12" s="108" t="n">
        <f aca="false">IF(ISBLANK(H12),"",H12*J12)</f>
        <v>1000</v>
      </c>
      <c r="L12" s="103"/>
      <c r="M12" s="113" t="n">
        <v>10</v>
      </c>
      <c r="N12" s="36" t="s">
        <v>116</v>
      </c>
      <c r="O12" s="108" t="n">
        <v>100</v>
      </c>
      <c r="P12" s="108" t="n">
        <f aca="false">IF(ISBLANK(M12),"",M12*O12)</f>
        <v>1000</v>
      </c>
      <c r="Q12" s="103"/>
      <c r="R12" s="113" t="n">
        <v>10</v>
      </c>
      <c r="S12" s="36" t="s">
        <v>116</v>
      </c>
      <c r="T12" s="108" t="n">
        <v>100</v>
      </c>
      <c r="U12" s="108" t="n">
        <f aca="false">IF(ISBLANK(R12),"",R12*T12)</f>
        <v>1000</v>
      </c>
      <c r="V12" s="103"/>
      <c r="W12" s="113" t="n">
        <v>10</v>
      </c>
      <c r="X12" s="36" t="s">
        <v>116</v>
      </c>
      <c r="Y12" s="108" t="n">
        <v>100</v>
      </c>
      <c r="Z12" s="108" t="n">
        <f aca="false">IF(ISBLANK(W12),"",W12*Y12)</f>
        <v>1000</v>
      </c>
      <c r="AA12" s="103"/>
      <c r="AB12" s="113" t="n">
        <v>10</v>
      </c>
      <c r="AC12" s="36" t="s">
        <v>116</v>
      </c>
      <c r="AD12" s="108" t="n">
        <v>150</v>
      </c>
      <c r="AE12" s="108" t="n">
        <f aca="false">IF(ISBLANK(AB12),"",AB12*AD12)</f>
        <v>1500</v>
      </c>
      <c r="AF12" s="103"/>
      <c r="AG12" s="113" t="n">
        <v>10</v>
      </c>
      <c r="AH12" s="36" t="s">
        <v>116</v>
      </c>
      <c r="AI12" s="108" t="n">
        <v>100</v>
      </c>
      <c r="AJ12" s="108" t="n">
        <f aca="false">IF(ISBLANK(AG12),"",AG12*AI12)</f>
        <v>1000</v>
      </c>
      <c r="AK12" s="103"/>
      <c r="AL12" s="113" t="n">
        <v>10</v>
      </c>
      <c r="AM12" s="36" t="s">
        <v>116</v>
      </c>
      <c r="AN12" s="108" t="n">
        <v>250</v>
      </c>
      <c r="AO12" s="108" t="n">
        <f aca="false">IF(ISBLANK(AL12),"",AL12*AN12)</f>
        <v>2500</v>
      </c>
      <c r="AP12" s="103"/>
    </row>
    <row r="13" customFormat="false" ht="11.25" hidden="false" customHeight="true" outlineLevel="0" collapsed="false">
      <c r="A13" s="174" t="str">
        <f aca="false">IF(B13&gt;0,IF(C13&gt;0,MAX($A$5:A12)+1," ")," ")</f>
        <v> </v>
      </c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74" t="n">
        <f aca="false">IF(B14&gt;0,IF(C14&gt;0,MAX($A$5:A13)+1," ")," ")</f>
        <v>4</v>
      </c>
      <c r="B14" s="70" t="s">
        <v>1107</v>
      </c>
      <c r="C14" s="113" t="n">
        <v>10</v>
      </c>
      <c r="D14" s="36" t="s">
        <v>116</v>
      </c>
      <c r="E14" s="108" t="n">
        <v>100</v>
      </c>
      <c r="F14" s="108" t="n">
        <f aca="false">IF(ISBLANK(C14),"",C14*E14)</f>
        <v>1000</v>
      </c>
      <c r="G14" s="103"/>
      <c r="H14" s="113" t="n">
        <v>10</v>
      </c>
      <c r="I14" s="36" t="s">
        <v>116</v>
      </c>
      <c r="J14" s="108" t="n">
        <v>100</v>
      </c>
      <c r="K14" s="108" t="n">
        <f aca="false">IF(ISBLANK(H14),"",H14*J14)</f>
        <v>1000</v>
      </c>
      <c r="L14" s="103"/>
      <c r="M14" s="113" t="n">
        <v>10</v>
      </c>
      <c r="N14" s="36" t="s">
        <v>116</v>
      </c>
      <c r="O14" s="108" t="n">
        <v>100</v>
      </c>
      <c r="P14" s="108" t="n">
        <f aca="false">IF(ISBLANK(M14),"",M14*O14)</f>
        <v>1000</v>
      </c>
      <c r="Q14" s="103"/>
      <c r="R14" s="113" t="n">
        <v>10</v>
      </c>
      <c r="S14" s="36" t="s">
        <v>116</v>
      </c>
      <c r="T14" s="108" t="n">
        <v>100</v>
      </c>
      <c r="U14" s="108" t="n">
        <f aca="false">IF(ISBLANK(R14),"",R14*T14)</f>
        <v>1000</v>
      </c>
      <c r="V14" s="103"/>
      <c r="W14" s="113" t="n">
        <v>10</v>
      </c>
      <c r="X14" s="36" t="s">
        <v>116</v>
      </c>
      <c r="Y14" s="108" t="n">
        <v>100</v>
      </c>
      <c r="Z14" s="108" t="n">
        <f aca="false">IF(ISBLANK(W14),"",W14*Y14)</f>
        <v>1000</v>
      </c>
      <c r="AA14" s="103"/>
      <c r="AB14" s="113" t="n">
        <v>10</v>
      </c>
      <c r="AC14" s="36" t="s">
        <v>116</v>
      </c>
      <c r="AD14" s="108" t="n">
        <v>150</v>
      </c>
      <c r="AE14" s="108" t="n">
        <f aca="false">IF(ISBLANK(AB14),"",AB14*AD14)</f>
        <v>1500</v>
      </c>
      <c r="AF14" s="103"/>
      <c r="AG14" s="113" t="n">
        <v>10</v>
      </c>
      <c r="AH14" s="36" t="s">
        <v>116</v>
      </c>
      <c r="AI14" s="108" t="n">
        <v>100</v>
      </c>
      <c r="AJ14" s="108" t="n">
        <f aca="false">IF(ISBLANK(AG14),"",AG14*AI14)</f>
        <v>1000</v>
      </c>
      <c r="AK14" s="103"/>
      <c r="AL14" s="113" t="n">
        <v>10</v>
      </c>
      <c r="AM14" s="36" t="s">
        <v>116</v>
      </c>
      <c r="AN14" s="108" t="n">
        <v>250</v>
      </c>
      <c r="AO14" s="108" t="n">
        <f aca="false">IF(ISBLANK(AL14),"",AL14*AN14)</f>
        <v>2500</v>
      </c>
      <c r="AP14" s="103"/>
    </row>
    <row r="15" customFormat="false" ht="11.25" hidden="false" customHeight="true" outlineLevel="0" collapsed="false">
      <c r="A15" s="174" t="str">
        <f aca="false">IF(B15&gt;0,IF(C15&gt;0,MAX($A$3:A14)+1," ")," ")</f>
        <v> </v>
      </c>
      <c r="B15" s="70"/>
      <c r="C15" s="111"/>
      <c r="D15" s="36"/>
      <c r="E15" s="108"/>
      <c r="F15" s="108" t="str">
        <f aca="false">IF(ISBLANK(C15),"",C15*E15)</f>
        <v/>
      </c>
      <c r="G15" s="103"/>
      <c r="H15" s="111"/>
      <c r="I15" s="36"/>
      <c r="J15" s="108"/>
      <c r="K15" s="108" t="str">
        <f aca="false">IF(ISBLANK(H15),"",H15*J15)</f>
        <v/>
      </c>
      <c r="L15" s="103"/>
      <c r="M15" s="111"/>
      <c r="N15" s="36"/>
      <c r="O15" s="108"/>
      <c r="P15" s="108" t="str">
        <f aca="false">IF(ISBLANK(M15),"",M15*O15)</f>
        <v/>
      </c>
      <c r="Q15" s="103"/>
      <c r="R15" s="111"/>
      <c r="S15" s="36"/>
      <c r="T15" s="108"/>
      <c r="U15" s="108" t="str">
        <f aca="false">IF(ISBLANK(R15),"",R15*T15)</f>
        <v/>
      </c>
      <c r="V15" s="103"/>
      <c r="W15" s="111"/>
      <c r="X15" s="36"/>
      <c r="Y15" s="108"/>
      <c r="Z15" s="108" t="str">
        <f aca="false">IF(ISBLANK(W15),"",W15*Y15)</f>
        <v/>
      </c>
      <c r="AA15" s="103"/>
      <c r="AB15" s="111"/>
      <c r="AC15" s="36"/>
      <c r="AD15" s="108"/>
      <c r="AE15" s="108" t="str">
        <f aca="false">IF(ISBLANK(AB15),"",AB15*AD15)</f>
        <v/>
      </c>
      <c r="AF15" s="103"/>
      <c r="AG15" s="111"/>
      <c r="AH15" s="36"/>
      <c r="AI15" s="108"/>
      <c r="AJ15" s="108" t="str">
        <f aca="false">IF(ISBLANK(AG15),"",AG15*AI15)</f>
        <v/>
      </c>
      <c r="AK15" s="103"/>
      <c r="AL15" s="111"/>
      <c r="AM15" s="36"/>
      <c r="AN15" s="108"/>
      <c r="AO15" s="108" t="str">
        <f aca="false">IF(ISBLANK(AL15),"",AL15*AN15)</f>
        <v/>
      </c>
      <c r="AP15" s="103"/>
    </row>
    <row r="16" customFormat="false" ht="11.25" hidden="false" customHeight="true" outlineLevel="0" collapsed="false">
      <c r="A16" s="174" t="n">
        <f aca="false">IF(B16&gt;0,IF(C16&gt;0,MAX($A$5:A15)+1," ")," ")</f>
        <v>5</v>
      </c>
      <c r="B16" s="70" t="s">
        <v>1108</v>
      </c>
      <c r="C16" s="113" t="n">
        <v>10</v>
      </c>
      <c r="D16" s="36" t="s">
        <v>116</v>
      </c>
      <c r="E16" s="108" t="n">
        <v>100</v>
      </c>
      <c r="F16" s="108" t="n">
        <f aca="false">IF(ISBLANK(C16),"",C16*E16)</f>
        <v>1000</v>
      </c>
      <c r="G16" s="103"/>
      <c r="H16" s="113" t="n">
        <v>10</v>
      </c>
      <c r="I16" s="36" t="s">
        <v>116</v>
      </c>
      <c r="J16" s="108" t="n">
        <v>100</v>
      </c>
      <c r="K16" s="108" t="n">
        <f aca="false">IF(ISBLANK(H16),"",H16*J16)</f>
        <v>1000</v>
      </c>
      <c r="L16" s="103"/>
      <c r="M16" s="113" t="n">
        <v>10</v>
      </c>
      <c r="N16" s="36" t="s">
        <v>116</v>
      </c>
      <c r="O16" s="108" t="n">
        <v>100</v>
      </c>
      <c r="P16" s="108" t="n">
        <f aca="false">IF(ISBLANK(M16),"",M16*O16)</f>
        <v>1000</v>
      </c>
      <c r="Q16" s="103"/>
      <c r="R16" s="113" t="n">
        <v>10</v>
      </c>
      <c r="S16" s="36" t="s">
        <v>116</v>
      </c>
      <c r="T16" s="108" t="n">
        <v>100</v>
      </c>
      <c r="U16" s="108" t="n">
        <f aca="false">IF(ISBLANK(R16),"",R16*T16)</f>
        <v>1000</v>
      </c>
      <c r="V16" s="103"/>
      <c r="W16" s="113" t="n">
        <v>10</v>
      </c>
      <c r="X16" s="36" t="s">
        <v>116</v>
      </c>
      <c r="Y16" s="108" t="n">
        <v>100</v>
      </c>
      <c r="Z16" s="108" t="n">
        <f aca="false">IF(ISBLANK(W16),"",W16*Y16)</f>
        <v>1000</v>
      </c>
      <c r="AA16" s="103"/>
      <c r="AB16" s="113" t="n">
        <v>10</v>
      </c>
      <c r="AC16" s="36" t="s">
        <v>116</v>
      </c>
      <c r="AD16" s="108" t="n">
        <v>150</v>
      </c>
      <c r="AE16" s="108" t="n">
        <f aca="false">IF(ISBLANK(AB16),"",AB16*AD16)</f>
        <v>1500</v>
      </c>
      <c r="AF16" s="103"/>
      <c r="AG16" s="113" t="n">
        <v>10</v>
      </c>
      <c r="AH16" s="36" t="s">
        <v>116</v>
      </c>
      <c r="AI16" s="108" t="n">
        <v>250</v>
      </c>
      <c r="AJ16" s="108" t="n">
        <f aca="false">IF(ISBLANK(AG16),"",AG16*AI16)</f>
        <v>2500</v>
      </c>
      <c r="AK16" s="103"/>
      <c r="AL16" s="113" t="n">
        <v>10</v>
      </c>
      <c r="AM16" s="36" t="s">
        <v>116</v>
      </c>
      <c r="AN16" s="108" t="n">
        <v>250</v>
      </c>
      <c r="AO16" s="108" t="n">
        <f aca="false">IF(ISBLANK(AL16),"",AL16*AN16)</f>
        <v>2500</v>
      </c>
      <c r="AP16" s="103"/>
    </row>
    <row r="17" customFormat="false" ht="11.25" hidden="false" customHeight="true" outlineLevel="0" collapsed="false">
      <c r="A17" s="174" t="str">
        <f aca="false">IF(B17&gt;0,IF(C17&gt;0,MAX($A$5:A16)+1," ")," ")</f>
        <v> </v>
      </c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74" t="n">
        <f aca="false">IF(B18&gt;0,IF(C18&gt;0,MAX($A$5:A17)+1," ")," ")</f>
        <v>6</v>
      </c>
      <c r="B18" s="70" t="s">
        <v>1109</v>
      </c>
      <c r="C18" s="113" t="n">
        <v>10</v>
      </c>
      <c r="D18" s="36" t="s">
        <v>116</v>
      </c>
      <c r="E18" s="108" t="n">
        <v>100</v>
      </c>
      <c r="F18" s="108" t="n">
        <f aca="false">IF(ISBLANK(C18),"",C18*E18)</f>
        <v>1000</v>
      </c>
      <c r="G18" s="103"/>
      <c r="H18" s="113" t="n">
        <v>10</v>
      </c>
      <c r="I18" s="36" t="s">
        <v>116</v>
      </c>
      <c r="J18" s="108" t="n">
        <v>100</v>
      </c>
      <c r="K18" s="108" t="n">
        <f aca="false">IF(ISBLANK(H18),"",H18*J18)</f>
        <v>1000</v>
      </c>
      <c r="L18" s="103"/>
      <c r="M18" s="113" t="n">
        <v>10</v>
      </c>
      <c r="N18" s="36" t="s">
        <v>116</v>
      </c>
      <c r="O18" s="108" t="n">
        <v>100</v>
      </c>
      <c r="P18" s="108" t="n">
        <f aca="false">IF(ISBLANK(M18),"",M18*O18)</f>
        <v>1000</v>
      </c>
      <c r="Q18" s="103"/>
      <c r="R18" s="113" t="n">
        <v>10</v>
      </c>
      <c r="S18" s="36" t="s">
        <v>116</v>
      </c>
      <c r="T18" s="108" t="n">
        <v>100</v>
      </c>
      <c r="U18" s="108" t="n">
        <f aca="false">IF(ISBLANK(R18),"",R18*T18)</f>
        <v>1000</v>
      </c>
      <c r="V18" s="103"/>
      <c r="W18" s="113" t="n">
        <v>10</v>
      </c>
      <c r="X18" s="36" t="s">
        <v>116</v>
      </c>
      <c r="Y18" s="108" t="n">
        <v>100</v>
      </c>
      <c r="Z18" s="108" t="n">
        <f aca="false">IF(ISBLANK(W18),"",W18*Y18)</f>
        <v>1000</v>
      </c>
      <c r="AA18" s="103"/>
      <c r="AB18" s="113" t="n">
        <v>10</v>
      </c>
      <c r="AC18" s="36" t="s">
        <v>116</v>
      </c>
      <c r="AD18" s="108" t="n">
        <v>150</v>
      </c>
      <c r="AE18" s="108" t="n">
        <f aca="false">IF(ISBLANK(AB18),"",AB18*AD18)</f>
        <v>1500</v>
      </c>
      <c r="AF18" s="103"/>
      <c r="AG18" s="113" t="n">
        <v>10</v>
      </c>
      <c r="AH18" s="36" t="s">
        <v>116</v>
      </c>
      <c r="AI18" s="108" t="n">
        <v>100</v>
      </c>
      <c r="AJ18" s="108" t="n">
        <f aca="false">IF(ISBLANK(AG18),"",AG18*AI18)</f>
        <v>1000</v>
      </c>
      <c r="AK18" s="103"/>
      <c r="AL18" s="113" t="n">
        <v>10</v>
      </c>
      <c r="AM18" s="36" t="s">
        <v>116</v>
      </c>
      <c r="AN18" s="108" t="n">
        <v>250</v>
      </c>
      <c r="AO18" s="108" t="n">
        <f aca="false">IF(ISBLANK(AL18),"",AL18*AN18)</f>
        <v>2500</v>
      </c>
      <c r="AP18" s="103"/>
    </row>
    <row r="19" customFormat="false" ht="11.25" hidden="false" customHeight="true" outlineLevel="0" collapsed="false">
      <c r="A19" s="174" t="str">
        <f aca="false">IF(B19&gt;0,IF(C19&gt;0,MAX($A$5:A18)+1," ")," ")</f>
        <v> </v>
      </c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74" t="n">
        <f aca="false">IF(B20&gt;0,IF(C20&gt;0,MAX($A$5:A19)+1," ")," ")</f>
        <v>7</v>
      </c>
      <c r="B20" s="70" t="s">
        <v>1110</v>
      </c>
      <c r="C20" s="113" t="n">
        <v>10</v>
      </c>
      <c r="D20" s="36" t="s">
        <v>116</v>
      </c>
      <c r="E20" s="108" t="n">
        <v>100</v>
      </c>
      <c r="F20" s="108" t="n">
        <f aca="false">IF(ISBLANK(C20),"",C20*E20)</f>
        <v>1000</v>
      </c>
      <c r="G20" s="103"/>
      <c r="H20" s="113" t="n">
        <v>10</v>
      </c>
      <c r="I20" s="36" t="s">
        <v>116</v>
      </c>
      <c r="J20" s="108" t="n">
        <v>100</v>
      </c>
      <c r="K20" s="108" t="n">
        <f aca="false">IF(ISBLANK(H20),"",H20*J20)</f>
        <v>1000</v>
      </c>
      <c r="L20" s="103"/>
      <c r="M20" s="113" t="n">
        <v>10</v>
      </c>
      <c r="N20" s="36" t="s">
        <v>116</v>
      </c>
      <c r="O20" s="108" t="n">
        <v>100</v>
      </c>
      <c r="P20" s="108" t="n">
        <f aca="false">IF(ISBLANK(M20),"",M20*O20)</f>
        <v>1000</v>
      </c>
      <c r="Q20" s="103"/>
      <c r="R20" s="113" t="n">
        <v>10</v>
      </c>
      <c r="S20" s="36" t="s">
        <v>116</v>
      </c>
      <c r="T20" s="108" t="n">
        <v>100</v>
      </c>
      <c r="U20" s="108" t="n">
        <f aca="false">IF(ISBLANK(R20),"",R20*T20)</f>
        <v>1000</v>
      </c>
      <c r="V20" s="103"/>
      <c r="W20" s="113" t="n">
        <v>10</v>
      </c>
      <c r="X20" s="36" t="s">
        <v>116</v>
      </c>
      <c r="Y20" s="108" t="n">
        <v>100</v>
      </c>
      <c r="Z20" s="108" t="n">
        <f aca="false">IF(ISBLANK(W20),"",W20*Y20)</f>
        <v>1000</v>
      </c>
      <c r="AA20" s="103"/>
      <c r="AB20" s="113" t="n">
        <v>10</v>
      </c>
      <c r="AC20" s="36" t="s">
        <v>116</v>
      </c>
      <c r="AD20" s="108" t="n">
        <v>150</v>
      </c>
      <c r="AE20" s="108" t="n">
        <f aca="false">IF(ISBLANK(AB20),"",AB20*AD20)</f>
        <v>1500</v>
      </c>
      <c r="AF20" s="103"/>
      <c r="AG20" s="113" t="n">
        <v>10</v>
      </c>
      <c r="AH20" s="36" t="s">
        <v>116</v>
      </c>
      <c r="AI20" s="108" t="n">
        <v>100</v>
      </c>
      <c r="AJ20" s="108" t="n">
        <f aca="false">IF(ISBLANK(AG20),"",AG20*AI20)</f>
        <v>1000</v>
      </c>
      <c r="AK20" s="103"/>
      <c r="AL20" s="113" t="n">
        <v>10</v>
      </c>
      <c r="AM20" s="36" t="s">
        <v>116</v>
      </c>
      <c r="AN20" s="108" t="n">
        <v>250</v>
      </c>
      <c r="AO20" s="108" t="n">
        <f aca="false">IF(ISBLANK(AL20),"",AL20*AN20)</f>
        <v>2500</v>
      </c>
      <c r="AP20" s="103"/>
    </row>
    <row r="21" customFormat="false" ht="11.25" hidden="false" customHeight="true" outlineLevel="0" collapsed="false">
      <c r="A21" s="174" t="str">
        <f aca="false">IF(B21&gt;0,IF(C21&gt;0,MAX($A$5:A20)+1," ")," ")</f>
        <v> </v>
      </c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74" t="n">
        <f aca="false">IF(B22&gt;0,IF(C22&gt;0,MAX($A$5:A21)+1," ")," ")</f>
        <v>8</v>
      </c>
      <c r="B22" s="70" t="s">
        <v>1111</v>
      </c>
      <c r="C22" s="113" t="n">
        <v>10</v>
      </c>
      <c r="D22" s="36" t="s">
        <v>116</v>
      </c>
      <c r="E22" s="108" t="n">
        <v>100</v>
      </c>
      <c r="F22" s="108" t="n">
        <f aca="false">IF(ISBLANK(C22),"",C22*E22)</f>
        <v>1000</v>
      </c>
      <c r="G22" s="103"/>
      <c r="H22" s="113" t="n">
        <v>10</v>
      </c>
      <c r="I22" s="36" t="s">
        <v>116</v>
      </c>
      <c r="J22" s="108" t="n">
        <v>100</v>
      </c>
      <c r="K22" s="108" t="n">
        <f aca="false">IF(ISBLANK(H22),"",H22*J22)</f>
        <v>1000</v>
      </c>
      <c r="L22" s="103"/>
      <c r="M22" s="113" t="n">
        <v>10</v>
      </c>
      <c r="N22" s="36" t="s">
        <v>116</v>
      </c>
      <c r="O22" s="108" t="n">
        <v>100</v>
      </c>
      <c r="P22" s="108" t="n">
        <f aca="false">IF(ISBLANK(M22),"",M22*O22)</f>
        <v>1000</v>
      </c>
      <c r="Q22" s="103"/>
      <c r="R22" s="113" t="n">
        <v>10</v>
      </c>
      <c r="S22" s="36" t="s">
        <v>116</v>
      </c>
      <c r="T22" s="108" t="n">
        <v>100</v>
      </c>
      <c r="U22" s="108" t="n">
        <f aca="false">IF(ISBLANK(R22),"",R22*T22)</f>
        <v>1000</v>
      </c>
      <c r="V22" s="103"/>
      <c r="W22" s="113" t="n">
        <v>10</v>
      </c>
      <c r="X22" s="36" t="s">
        <v>116</v>
      </c>
      <c r="Y22" s="108" t="n">
        <v>100</v>
      </c>
      <c r="Z22" s="108" t="n">
        <f aca="false">IF(ISBLANK(W22),"",W22*Y22)</f>
        <v>1000</v>
      </c>
      <c r="AA22" s="103"/>
      <c r="AB22" s="113" t="n">
        <v>10</v>
      </c>
      <c r="AC22" s="36" t="s">
        <v>116</v>
      </c>
      <c r="AD22" s="108" t="n">
        <v>150</v>
      </c>
      <c r="AE22" s="108" t="n">
        <f aca="false">IF(ISBLANK(AB22),"",AB22*AD22)</f>
        <v>1500</v>
      </c>
      <c r="AF22" s="103"/>
      <c r="AG22" s="113" t="n">
        <v>10</v>
      </c>
      <c r="AH22" s="36" t="s">
        <v>116</v>
      </c>
      <c r="AI22" s="108" t="n">
        <v>100</v>
      </c>
      <c r="AJ22" s="108" t="n">
        <f aca="false">IF(ISBLANK(AG22),"",AG22*AI22)</f>
        <v>1000</v>
      </c>
      <c r="AK22" s="103"/>
      <c r="AL22" s="113" t="n">
        <v>10</v>
      </c>
      <c r="AM22" s="36" t="s">
        <v>116</v>
      </c>
      <c r="AN22" s="108" t="n">
        <v>250</v>
      </c>
      <c r="AO22" s="108" t="n">
        <f aca="false">IF(ISBLANK(AL22),"",AL22*AN22)</f>
        <v>2500</v>
      </c>
      <c r="AP22" s="103"/>
    </row>
    <row r="23" customFormat="false" ht="11.25" hidden="false" customHeight="true" outlineLevel="0" collapsed="false">
      <c r="A23" s="174" t="str">
        <f aca="false">IF(B23&gt;0,IF(C23&gt;0,MAX($A$3:A22)+1," ")," ")</f>
        <v> </v>
      </c>
      <c r="B23" s="70"/>
      <c r="C23" s="111"/>
      <c r="D23" s="36"/>
      <c r="E23" s="108"/>
      <c r="F23" s="108" t="str">
        <f aca="false">IF(ISBLANK(C23),"",C23*E23)</f>
        <v/>
      </c>
      <c r="G23" s="103"/>
      <c r="H23" s="111"/>
      <c r="I23" s="36"/>
      <c r="J23" s="108"/>
      <c r="K23" s="108" t="str">
        <f aca="false">IF(ISBLANK(H23),"",H23*J23)</f>
        <v/>
      </c>
      <c r="L23" s="103"/>
      <c r="M23" s="111"/>
      <c r="N23" s="36"/>
      <c r="O23" s="108"/>
      <c r="P23" s="108" t="str">
        <f aca="false">IF(ISBLANK(M23),"",M23*O23)</f>
        <v/>
      </c>
      <c r="Q23" s="103"/>
      <c r="R23" s="111"/>
      <c r="S23" s="36"/>
      <c r="T23" s="108"/>
      <c r="U23" s="108" t="str">
        <f aca="false">IF(ISBLANK(R23),"",R23*T23)</f>
        <v/>
      </c>
      <c r="V23" s="103"/>
      <c r="W23" s="111"/>
      <c r="X23" s="36"/>
      <c r="Y23" s="108"/>
      <c r="Z23" s="108" t="str">
        <f aca="false">IF(ISBLANK(W23),"",W23*Y23)</f>
        <v/>
      </c>
      <c r="AA23" s="103"/>
      <c r="AB23" s="111"/>
      <c r="AC23" s="36"/>
      <c r="AD23" s="108"/>
      <c r="AE23" s="108" t="str">
        <f aca="false">IF(ISBLANK(AB23),"",AB23*AD23)</f>
        <v/>
      </c>
      <c r="AF23" s="103"/>
      <c r="AG23" s="111"/>
      <c r="AH23" s="36"/>
      <c r="AI23" s="108"/>
      <c r="AJ23" s="108" t="str">
        <f aca="false">IF(ISBLANK(AG23),"",AG23*AI23)</f>
        <v/>
      </c>
      <c r="AK23" s="103"/>
      <c r="AL23" s="111"/>
      <c r="AM23" s="36"/>
      <c r="AN23" s="108"/>
      <c r="AO23" s="108" t="str">
        <f aca="false">IF(ISBLANK(AL23),"",AL23*AN23)</f>
        <v/>
      </c>
      <c r="AP23" s="103"/>
    </row>
    <row r="24" customFormat="false" ht="11.25" hidden="false" customHeight="true" outlineLevel="0" collapsed="false">
      <c r="A24" s="174" t="n">
        <f aca="false">IF(B24&gt;0,IF(C24&gt;0,MAX($A$5:A23)+1," ")," ")</f>
        <v>9</v>
      </c>
      <c r="B24" s="70" t="s">
        <v>1112</v>
      </c>
      <c r="C24" s="113" t="n">
        <v>10</v>
      </c>
      <c r="D24" s="36" t="s">
        <v>116</v>
      </c>
      <c r="E24" s="108" t="n">
        <v>100</v>
      </c>
      <c r="F24" s="108" t="n">
        <f aca="false">IF(ISBLANK(C24),"",C24*E24)</f>
        <v>1000</v>
      </c>
      <c r="G24" s="103"/>
      <c r="H24" s="113" t="n">
        <v>10</v>
      </c>
      <c r="I24" s="36" t="s">
        <v>116</v>
      </c>
      <c r="J24" s="108" t="n">
        <v>100</v>
      </c>
      <c r="K24" s="108" t="n">
        <f aca="false">IF(ISBLANK(H24),"",H24*J24)</f>
        <v>1000</v>
      </c>
      <c r="L24" s="103"/>
      <c r="M24" s="113" t="n">
        <v>10</v>
      </c>
      <c r="N24" s="36" t="s">
        <v>116</v>
      </c>
      <c r="O24" s="108" t="n">
        <v>100</v>
      </c>
      <c r="P24" s="108" t="n">
        <f aca="false">IF(ISBLANK(M24),"",M24*O24)</f>
        <v>1000</v>
      </c>
      <c r="Q24" s="103"/>
      <c r="R24" s="113" t="n">
        <v>10</v>
      </c>
      <c r="S24" s="36" t="s">
        <v>116</v>
      </c>
      <c r="T24" s="108" t="n">
        <v>100</v>
      </c>
      <c r="U24" s="108" t="n">
        <f aca="false">IF(ISBLANK(R24),"",R24*T24)</f>
        <v>1000</v>
      </c>
      <c r="V24" s="103"/>
      <c r="W24" s="113" t="n">
        <v>10</v>
      </c>
      <c r="X24" s="36" t="s">
        <v>116</v>
      </c>
      <c r="Y24" s="108" t="n">
        <v>100</v>
      </c>
      <c r="Z24" s="108" t="n">
        <f aca="false">IF(ISBLANK(W24),"",W24*Y24)</f>
        <v>1000</v>
      </c>
      <c r="AA24" s="103"/>
      <c r="AB24" s="113" t="n">
        <v>10</v>
      </c>
      <c r="AC24" s="36" t="s">
        <v>116</v>
      </c>
      <c r="AD24" s="108" t="n">
        <v>150</v>
      </c>
      <c r="AE24" s="108" t="n">
        <f aca="false">IF(ISBLANK(AB24),"",AB24*AD24)</f>
        <v>1500</v>
      </c>
      <c r="AF24" s="103"/>
      <c r="AG24" s="113" t="n">
        <v>10</v>
      </c>
      <c r="AH24" s="36" t="s">
        <v>116</v>
      </c>
      <c r="AI24" s="108" t="n">
        <v>250</v>
      </c>
      <c r="AJ24" s="108" t="n">
        <f aca="false">IF(ISBLANK(AG24),"",AG24*AI24)</f>
        <v>2500</v>
      </c>
      <c r="AK24" s="103"/>
      <c r="AL24" s="113" t="n">
        <v>10</v>
      </c>
      <c r="AM24" s="36" t="s">
        <v>116</v>
      </c>
      <c r="AN24" s="108" t="n">
        <v>250</v>
      </c>
      <c r="AO24" s="108" t="n">
        <f aca="false">IF(ISBLANK(AL24),"",AL24*AN24)</f>
        <v>2500</v>
      </c>
      <c r="AP24" s="103"/>
    </row>
    <row r="25" customFormat="false" ht="11.25" hidden="false" customHeight="true" outlineLevel="0" collapsed="false">
      <c r="A25" s="174" t="str">
        <f aca="false">IF(B25&gt;0,IF(C25&gt;0,MAX($A$5:A24)+1," ")," ")</f>
        <v> </v>
      </c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74" t="n">
        <f aca="false">IF(B26&gt;0,IF(C26&gt;0,MAX($A$5:A25)+1," ")," ")</f>
        <v>10</v>
      </c>
      <c r="B26" s="70" t="s">
        <v>1113</v>
      </c>
      <c r="C26" s="113" t="n">
        <v>10</v>
      </c>
      <c r="D26" s="36" t="s">
        <v>116</v>
      </c>
      <c r="E26" s="108" t="n">
        <v>100</v>
      </c>
      <c r="F26" s="108" t="n">
        <f aca="false">IF(ISBLANK(C26),"",C26*E26)</f>
        <v>1000</v>
      </c>
      <c r="G26" s="103"/>
      <c r="H26" s="113" t="n">
        <v>10</v>
      </c>
      <c r="I26" s="36" t="s">
        <v>116</v>
      </c>
      <c r="J26" s="108" t="n">
        <v>100</v>
      </c>
      <c r="K26" s="108" t="n">
        <f aca="false">IF(ISBLANK(H26),"",H26*J26)</f>
        <v>1000</v>
      </c>
      <c r="L26" s="103"/>
      <c r="M26" s="113" t="n">
        <v>10</v>
      </c>
      <c r="N26" s="36" t="s">
        <v>116</v>
      </c>
      <c r="O26" s="108" t="n">
        <v>100</v>
      </c>
      <c r="P26" s="108" t="n">
        <f aca="false">IF(ISBLANK(M26),"",M26*O26)</f>
        <v>1000</v>
      </c>
      <c r="Q26" s="103"/>
      <c r="R26" s="113" t="n">
        <v>10</v>
      </c>
      <c r="S26" s="36" t="s">
        <v>116</v>
      </c>
      <c r="T26" s="108" t="n">
        <v>100</v>
      </c>
      <c r="U26" s="108" t="n">
        <f aca="false">IF(ISBLANK(R26),"",R26*T26)</f>
        <v>1000</v>
      </c>
      <c r="V26" s="103"/>
      <c r="W26" s="113" t="n">
        <v>10</v>
      </c>
      <c r="X26" s="36" t="s">
        <v>116</v>
      </c>
      <c r="Y26" s="108" t="n">
        <v>100</v>
      </c>
      <c r="Z26" s="108" t="n">
        <f aca="false">IF(ISBLANK(W26),"",W26*Y26)</f>
        <v>1000</v>
      </c>
      <c r="AA26" s="103"/>
      <c r="AB26" s="113" t="n">
        <v>10</v>
      </c>
      <c r="AC26" s="36" t="s">
        <v>116</v>
      </c>
      <c r="AD26" s="108" t="n">
        <v>150</v>
      </c>
      <c r="AE26" s="108" t="n">
        <f aca="false">IF(ISBLANK(AB26),"",AB26*AD26)</f>
        <v>1500</v>
      </c>
      <c r="AF26" s="103"/>
      <c r="AG26" s="113" t="n">
        <v>10</v>
      </c>
      <c r="AH26" s="36" t="s">
        <v>116</v>
      </c>
      <c r="AI26" s="108" t="n">
        <v>100</v>
      </c>
      <c r="AJ26" s="108" t="n">
        <f aca="false">IF(ISBLANK(AG26),"",AG26*AI26)</f>
        <v>1000</v>
      </c>
      <c r="AK26" s="103"/>
      <c r="AL26" s="113" t="n">
        <v>10</v>
      </c>
      <c r="AM26" s="36" t="s">
        <v>116</v>
      </c>
      <c r="AN26" s="108" t="n">
        <v>250</v>
      </c>
      <c r="AO26" s="108" t="n">
        <f aca="false">IF(ISBLANK(AL26),"",AL26*AN26)</f>
        <v>2500</v>
      </c>
      <c r="AP26" s="103"/>
    </row>
    <row r="27" customFormat="false" ht="11.25" hidden="false" customHeight="true" outlineLevel="0" collapsed="false">
      <c r="A27" s="174" t="str">
        <f aca="false">IF(B27&gt;0,IF(C27&gt;0,MAX($A$5:A26)+1," ")," ")</f>
        <v> </v>
      </c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74" t="n">
        <f aca="false">IF(B28&gt;0,IF(C28&gt;0,MAX($A$5:A27)+1," ")," ")</f>
        <v>11</v>
      </c>
      <c r="B28" s="70" t="s">
        <v>1114</v>
      </c>
      <c r="C28" s="113" t="n">
        <v>10</v>
      </c>
      <c r="D28" s="36" t="s">
        <v>116</v>
      </c>
      <c r="E28" s="108" t="n">
        <v>100</v>
      </c>
      <c r="F28" s="108" t="n">
        <f aca="false">IF(ISBLANK(C28),"",C28*E28)</f>
        <v>1000</v>
      </c>
      <c r="G28" s="103"/>
      <c r="H28" s="113" t="n">
        <v>10</v>
      </c>
      <c r="I28" s="36" t="s">
        <v>116</v>
      </c>
      <c r="J28" s="108" t="n">
        <v>100</v>
      </c>
      <c r="K28" s="108" t="n">
        <f aca="false">IF(ISBLANK(H28),"",H28*J28)</f>
        <v>1000</v>
      </c>
      <c r="L28" s="103"/>
      <c r="M28" s="113" t="n">
        <v>10</v>
      </c>
      <c r="N28" s="36" t="s">
        <v>116</v>
      </c>
      <c r="O28" s="108" t="n">
        <v>100</v>
      </c>
      <c r="P28" s="108" t="n">
        <f aca="false">IF(ISBLANK(M28),"",M28*O28)</f>
        <v>1000</v>
      </c>
      <c r="Q28" s="103"/>
      <c r="R28" s="113" t="n">
        <v>10</v>
      </c>
      <c r="S28" s="36" t="s">
        <v>116</v>
      </c>
      <c r="T28" s="108" t="n">
        <v>100</v>
      </c>
      <c r="U28" s="108" t="n">
        <f aca="false">IF(ISBLANK(R28),"",R28*T28)</f>
        <v>1000</v>
      </c>
      <c r="V28" s="103"/>
      <c r="W28" s="113" t="n">
        <v>10</v>
      </c>
      <c r="X28" s="36" t="s">
        <v>116</v>
      </c>
      <c r="Y28" s="108" t="n">
        <v>100</v>
      </c>
      <c r="Z28" s="108" t="n">
        <f aca="false">IF(ISBLANK(W28),"",W28*Y28)</f>
        <v>1000</v>
      </c>
      <c r="AA28" s="103"/>
      <c r="AB28" s="113" t="n">
        <v>10</v>
      </c>
      <c r="AC28" s="36" t="s">
        <v>116</v>
      </c>
      <c r="AD28" s="108" t="n">
        <v>150</v>
      </c>
      <c r="AE28" s="108" t="n">
        <f aca="false">IF(ISBLANK(AB28),"",AB28*AD28)</f>
        <v>1500</v>
      </c>
      <c r="AF28" s="103"/>
      <c r="AG28" s="113" t="n">
        <v>10</v>
      </c>
      <c r="AH28" s="36" t="s">
        <v>116</v>
      </c>
      <c r="AI28" s="108" t="n">
        <v>100</v>
      </c>
      <c r="AJ28" s="108" t="n">
        <f aca="false">IF(ISBLANK(AG28),"",AG28*AI28)</f>
        <v>1000</v>
      </c>
      <c r="AK28" s="103"/>
      <c r="AL28" s="113" t="n">
        <v>10</v>
      </c>
      <c r="AM28" s="36" t="s">
        <v>116</v>
      </c>
      <c r="AN28" s="108" t="n">
        <v>250</v>
      </c>
      <c r="AO28" s="108" t="n">
        <f aca="false">IF(ISBLANK(AL28),"",AL28*AN28)</f>
        <v>2500</v>
      </c>
      <c r="AP28" s="103"/>
    </row>
    <row r="29" customFormat="false" ht="11.25" hidden="false" customHeight="true" outlineLevel="0" collapsed="false">
      <c r="A29" s="174" t="str">
        <f aca="false">IF(B29&gt;0,IF(C29&gt;0,MAX($A$5:A28)+1," ")," ")</f>
        <v> </v>
      </c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74" t="n">
        <f aca="false">IF(B30&gt;0,IF(C30&gt;0,MAX($A$5:A29)+1," ")," ")</f>
        <v>12</v>
      </c>
      <c r="B30" s="70" t="s">
        <v>1115</v>
      </c>
      <c r="C30" s="113" t="n">
        <v>10</v>
      </c>
      <c r="D30" s="36" t="s">
        <v>116</v>
      </c>
      <c r="E30" s="108" t="n">
        <v>100</v>
      </c>
      <c r="F30" s="108" t="n">
        <f aca="false">IF(ISBLANK(C30),"",C30*E30)</f>
        <v>1000</v>
      </c>
      <c r="G30" s="103"/>
      <c r="H30" s="113" t="n">
        <v>10</v>
      </c>
      <c r="I30" s="36" t="s">
        <v>116</v>
      </c>
      <c r="J30" s="108" t="n">
        <v>100</v>
      </c>
      <c r="K30" s="108" t="n">
        <f aca="false">IF(ISBLANK(H30),"",H30*J30)</f>
        <v>1000</v>
      </c>
      <c r="L30" s="103"/>
      <c r="M30" s="113" t="n">
        <v>10</v>
      </c>
      <c r="N30" s="36" t="s">
        <v>116</v>
      </c>
      <c r="O30" s="108" t="n">
        <v>100</v>
      </c>
      <c r="P30" s="108" t="n">
        <f aca="false">IF(ISBLANK(M30),"",M30*O30)</f>
        <v>1000</v>
      </c>
      <c r="Q30" s="103"/>
      <c r="R30" s="113" t="n">
        <v>10</v>
      </c>
      <c r="S30" s="36" t="s">
        <v>116</v>
      </c>
      <c r="T30" s="108" t="n">
        <v>100</v>
      </c>
      <c r="U30" s="108" t="n">
        <f aca="false">IF(ISBLANK(R30),"",R30*T30)</f>
        <v>1000</v>
      </c>
      <c r="V30" s="103"/>
      <c r="W30" s="113" t="n">
        <v>10</v>
      </c>
      <c r="X30" s="36" t="s">
        <v>116</v>
      </c>
      <c r="Y30" s="108" t="n">
        <v>100</v>
      </c>
      <c r="Z30" s="108" t="n">
        <f aca="false">IF(ISBLANK(W30),"",W30*Y30)</f>
        <v>1000</v>
      </c>
      <c r="AA30" s="103"/>
      <c r="AB30" s="113" t="n">
        <v>10</v>
      </c>
      <c r="AC30" s="36" t="s">
        <v>116</v>
      </c>
      <c r="AD30" s="108" t="n">
        <v>150</v>
      </c>
      <c r="AE30" s="108" t="n">
        <f aca="false">IF(ISBLANK(AB30),"",AB30*AD30)</f>
        <v>1500</v>
      </c>
      <c r="AF30" s="103"/>
      <c r="AG30" s="113" t="n">
        <v>10</v>
      </c>
      <c r="AH30" s="36" t="s">
        <v>116</v>
      </c>
      <c r="AI30" s="108" t="n">
        <v>100</v>
      </c>
      <c r="AJ30" s="108" t="n">
        <f aca="false">IF(ISBLANK(AG30),"",AG30*AI30)</f>
        <v>1000</v>
      </c>
      <c r="AK30" s="103"/>
      <c r="AL30" s="113" t="n">
        <v>10</v>
      </c>
      <c r="AM30" s="36" t="s">
        <v>116</v>
      </c>
      <c r="AN30" s="108" t="n">
        <v>250</v>
      </c>
      <c r="AO30" s="108" t="n">
        <f aca="false">IF(ISBLANK(AL30),"",AL30*AN30)</f>
        <v>2500</v>
      </c>
      <c r="AP30" s="103"/>
    </row>
    <row r="31" customFormat="false" ht="11.25" hidden="false" customHeight="true" outlineLevel="0" collapsed="false">
      <c r="A31" s="174" t="str">
        <f aca="false">IF(B31&gt;0,IF(C31&gt;0,MAX($A$3:A30)+1," ")," ")</f>
        <v> </v>
      </c>
      <c r="B31" s="70"/>
      <c r="C31" s="111"/>
      <c r="D31" s="36"/>
      <c r="E31" s="108"/>
      <c r="F31" s="108" t="str">
        <f aca="false">IF(ISBLANK(C31),"",C31*E31)</f>
        <v/>
      </c>
      <c r="G31" s="103"/>
      <c r="H31" s="111"/>
      <c r="I31" s="36"/>
      <c r="J31" s="108"/>
      <c r="K31" s="108" t="str">
        <f aca="false">IF(ISBLANK(H31),"",H31*J31)</f>
        <v/>
      </c>
      <c r="L31" s="103"/>
      <c r="M31" s="111"/>
      <c r="N31" s="36"/>
      <c r="O31" s="108"/>
      <c r="P31" s="108" t="str">
        <f aca="false">IF(ISBLANK(M31),"",M31*O31)</f>
        <v/>
      </c>
      <c r="Q31" s="103"/>
      <c r="R31" s="111"/>
      <c r="S31" s="36"/>
      <c r="T31" s="108"/>
      <c r="U31" s="108" t="str">
        <f aca="false">IF(ISBLANK(R31),"",R31*T31)</f>
        <v/>
      </c>
      <c r="V31" s="103"/>
      <c r="W31" s="111"/>
      <c r="X31" s="36"/>
      <c r="Y31" s="108"/>
      <c r="Z31" s="108" t="str">
        <f aca="false">IF(ISBLANK(W31),"",W31*Y31)</f>
        <v/>
      </c>
      <c r="AA31" s="103"/>
      <c r="AB31" s="111"/>
      <c r="AC31" s="36"/>
      <c r="AD31" s="108"/>
      <c r="AE31" s="108" t="str">
        <f aca="false">IF(ISBLANK(AB31),"",AB31*AD31)</f>
        <v/>
      </c>
      <c r="AF31" s="103"/>
      <c r="AG31" s="111"/>
      <c r="AH31" s="36"/>
      <c r="AI31" s="108"/>
      <c r="AJ31" s="108" t="str">
        <f aca="false">IF(ISBLANK(AG31),"",AG31*AI31)</f>
        <v/>
      </c>
      <c r="AK31" s="103"/>
      <c r="AL31" s="111"/>
      <c r="AM31" s="36"/>
      <c r="AN31" s="108"/>
      <c r="AO31" s="108" t="str">
        <f aca="false">IF(ISBLANK(AL31),"",AL31*AN31)</f>
        <v/>
      </c>
      <c r="AP31" s="103"/>
    </row>
    <row r="32" customFormat="false" ht="11.25" hidden="false" customHeight="true" outlineLevel="0" collapsed="false">
      <c r="A32" s="174" t="n">
        <f aca="false">IF(B32&gt;0,IF(C32&gt;0,MAX($A$5:A31)+1," ")," ")</f>
        <v>13</v>
      </c>
      <c r="B32" s="70" t="s">
        <v>1116</v>
      </c>
      <c r="C32" s="113" t="n">
        <v>10</v>
      </c>
      <c r="D32" s="36" t="s">
        <v>116</v>
      </c>
      <c r="E32" s="108" t="n">
        <v>100</v>
      </c>
      <c r="F32" s="108" t="n">
        <f aca="false">IF(ISBLANK(C32),"",C32*E32)</f>
        <v>1000</v>
      </c>
      <c r="G32" s="103"/>
      <c r="H32" s="113" t="n">
        <v>10</v>
      </c>
      <c r="I32" s="36" t="s">
        <v>116</v>
      </c>
      <c r="J32" s="108" t="n">
        <v>100</v>
      </c>
      <c r="K32" s="108" t="n">
        <f aca="false">IF(ISBLANK(H32),"",H32*J32)</f>
        <v>1000</v>
      </c>
      <c r="L32" s="103"/>
      <c r="M32" s="113" t="n">
        <v>10</v>
      </c>
      <c r="N32" s="36" t="s">
        <v>116</v>
      </c>
      <c r="O32" s="108" t="n">
        <v>100</v>
      </c>
      <c r="P32" s="108" t="n">
        <f aca="false">IF(ISBLANK(M32),"",M32*O32)</f>
        <v>1000</v>
      </c>
      <c r="Q32" s="103"/>
      <c r="R32" s="113" t="n">
        <v>10</v>
      </c>
      <c r="S32" s="36" t="s">
        <v>116</v>
      </c>
      <c r="T32" s="108" t="n">
        <v>100</v>
      </c>
      <c r="U32" s="108" t="n">
        <f aca="false">IF(ISBLANK(R32),"",R32*T32)</f>
        <v>1000</v>
      </c>
      <c r="V32" s="103"/>
      <c r="W32" s="113" t="n">
        <v>10</v>
      </c>
      <c r="X32" s="36" t="s">
        <v>116</v>
      </c>
      <c r="Y32" s="108" t="n">
        <v>100</v>
      </c>
      <c r="Z32" s="108" t="n">
        <f aca="false">IF(ISBLANK(W32),"",W32*Y32)</f>
        <v>1000</v>
      </c>
      <c r="AA32" s="103"/>
      <c r="AB32" s="113" t="n">
        <v>10</v>
      </c>
      <c r="AC32" s="36" t="s">
        <v>116</v>
      </c>
      <c r="AD32" s="108" t="n">
        <v>150</v>
      </c>
      <c r="AE32" s="108" t="n">
        <f aca="false">IF(ISBLANK(AB32),"",AB32*AD32)</f>
        <v>1500</v>
      </c>
      <c r="AF32" s="103"/>
      <c r="AG32" s="113" t="n">
        <v>10</v>
      </c>
      <c r="AH32" s="36" t="s">
        <v>116</v>
      </c>
      <c r="AI32" s="108" t="n">
        <v>250</v>
      </c>
      <c r="AJ32" s="108" t="n">
        <f aca="false">IF(ISBLANK(AG32),"",AG32*AI32)</f>
        <v>2500</v>
      </c>
      <c r="AK32" s="103"/>
      <c r="AL32" s="113" t="n">
        <v>10</v>
      </c>
      <c r="AM32" s="36" t="s">
        <v>116</v>
      </c>
      <c r="AN32" s="108" t="n">
        <v>250</v>
      </c>
      <c r="AO32" s="108" t="n">
        <f aca="false">IF(ISBLANK(AL32),"",AL32*AN32)</f>
        <v>2500</v>
      </c>
      <c r="AP32" s="103"/>
    </row>
    <row r="33" customFormat="false" ht="11.25" hidden="false" customHeight="true" outlineLevel="0" collapsed="false">
      <c r="A33" s="174" t="str">
        <f aca="false">IF(B33&gt;0,IF(C33&gt;0,MAX($A$5:A32)+1," ")," ")</f>
        <v> </v>
      </c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74" t="n">
        <f aca="false">IF(B34&gt;0,IF(C34&gt;0,MAX($A$5:A33)+1," ")," ")</f>
        <v>14</v>
      </c>
      <c r="B34" s="70" t="s">
        <v>1117</v>
      </c>
      <c r="C34" s="113" t="n">
        <v>10</v>
      </c>
      <c r="D34" s="36" t="s">
        <v>116</v>
      </c>
      <c r="E34" s="108" t="n">
        <v>100</v>
      </c>
      <c r="F34" s="108" t="n">
        <f aca="false">IF(ISBLANK(C34),"",C34*E34)</f>
        <v>1000</v>
      </c>
      <c r="G34" s="103"/>
      <c r="H34" s="113" t="n">
        <v>10</v>
      </c>
      <c r="I34" s="36" t="s">
        <v>116</v>
      </c>
      <c r="J34" s="108" t="n">
        <v>100</v>
      </c>
      <c r="K34" s="108" t="n">
        <f aca="false">IF(ISBLANK(H34),"",H34*J34)</f>
        <v>1000</v>
      </c>
      <c r="L34" s="103"/>
      <c r="M34" s="113" t="n">
        <v>10</v>
      </c>
      <c r="N34" s="36" t="s">
        <v>116</v>
      </c>
      <c r="O34" s="108" t="n">
        <v>100</v>
      </c>
      <c r="P34" s="108" t="n">
        <f aca="false">IF(ISBLANK(M34),"",M34*O34)</f>
        <v>1000</v>
      </c>
      <c r="Q34" s="103"/>
      <c r="R34" s="113" t="n">
        <v>10</v>
      </c>
      <c r="S34" s="36" t="s">
        <v>116</v>
      </c>
      <c r="T34" s="108" t="n">
        <v>100</v>
      </c>
      <c r="U34" s="108" t="n">
        <f aca="false">IF(ISBLANK(R34),"",R34*T34)</f>
        <v>1000</v>
      </c>
      <c r="V34" s="103"/>
      <c r="W34" s="113" t="n">
        <v>10</v>
      </c>
      <c r="X34" s="36" t="s">
        <v>116</v>
      </c>
      <c r="Y34" s="108" t="n">
        <v>100</v>
      </c>
      <c r="Z34" s="108" t="n">
        <f aca="false">IF(ISBLANK(W34),"",W34*Y34)</f>
        <v>1000</v>
      </c>
      <c r="AA34" s="103"/>
      <c r="AB34" s="113" t="n">
        <v>10</v>
      </c>
      <c r="AC34" s="36" t="s">
        <v>116</v>
      </c>
      <c r="AD34" s="108" t="n">
        <v>150</v>
      </c>
      <c r="AE34" s="108" t="n">
        <f aca="false">IF(ISBLANK(AB34),"",AB34*AD34)</f>
        <v>1500</v>
      </c>
      <c r="AF34" s="103"/>
      <c r="AG34" s="113" t="n">
        <v>10</v>
      </c>
      <c r="AH34" s="36" t="s">
        <v>116</v>
      </c>
      <c r="AI34" s="108" t="n">
        <v>100</v>
      </c>
      <c r="AJ34" s="108" t="n">
        <f aca="false">IF(ISBLANK(AG34),"",AG34*AI34)</f>
        <v>1000</v>
      </c>
      <c r="AK34" s="103"/>
      <c r="AL34" s="113" t="n">
        <v>10</v>
      </c>
      <c r="AM34" s="36" t="s">
        <v>116</v>
      </c>
      <c r="AN34" s="108" t="n">
        <v>250</v>
      </c>
      <c r="AO34" s="108" t="n">
        <f aca="false">IF(ISBLANK(AL34),"",AL34*AN34)</f>
        <v>2500</v>
      </c>
      <c r="AP34" s="103"/>
    </row>
    <row r="35" customFormat="false" ht="11.25" hidden="false" customHeight="true" outlineLevel="0" collapsed="false">
      <c r="A35" s="174" t="str">
        <f aca="false">IF(B35&gt;0,IF(C35&gt;0,MAX($A$5:A34)+1," ")," ")</f>
        <v> </v>
      </c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74" t="n">
        <f aca="false">IF(B36&gt;0,IF(C36&gt;0,MAX($A$5:A35)+1," ")," ")</f>
        <v>15</v>
      </c>
      <c r="B36" s="70" t="s">
        <v>1118</v>
      </c>
      <c r="C36" s="113" t="n">
        <v>10</v>
      </c>
      <c r="D36" s="36" t="s">
        <v>116</v>
      </c>
      <c r="E36" s="108" t="n">
        <v>100</v>
      </c>
      <c r="F36" s="108" t="n">
        <f aca="false">IF(ISBLANK(C36),"",C36*E36)</f>
        <v>1000</v>
      </c>
      <c r="G36" s="103"/>
      <c r="H36" s="113" t="n">
        <v>10</v>
      </c>
      <c r="I36" s="36" t="s">
        <v>116</v>
      </c>
      <c r="J36" s="108" t="n">
        <v>100</v>
      </c>
      <c r="K36" s="108" t="n">
        <f aca="false">IF(ISBLANK(H36),"",H36*J36)</f>
        <v>1000</v>
      </c>
      <c r="L36" s="103"/>
      <c r="M36" s="113" t="n">
        <v>10</v>
      </c>
      <c r="N36" s="36" t="s">
        <v>116</v>
      </c>
      <c r="O36" s="108" t="n">
        <v>100</v>
      </c>
      <c r="P36" s="108" t="n">
        <f aca="false">IF(ISBLANK(M36),"",M36*O36)</f>
        <v>1000</v>
      </c>
      <c r="Q36" s="103"/>
      <c r="R36" s="113" t="n">
        <v>10</v>
      </c>
      <c r="S36" s="36" t="s">
        <v>116</v>
      </c>
      <c r="T36" s="108" t="n">
        <v>100</v>
      </c>
      <c r="U36" s="108" t="n">
        <f aca="false">IF(ISBLANK(R36),"",R36*T36)</f>
        <v>1000</v>
      </c>
      <c r="V36" s="103"/>
      <c r="W36" s="113" t="n">
        <v>10</v>
      </c>
      <c r="X36" s="36" t="s">
        <v>116</v>
      </c>
      <c r="Y36" s="108" t="n">
        <v>100</v>
      </c>
      <c r="Z36" s="108" t="n">
        <f aca="false">IF(ISBLANK(W36),"",W36*Y36)</f>
        <v>1000</v>
      </c>
      <c r="AA36" s="103"/>
      <c r="AB36" s="113" t="n">
        <v>10</v>
      </c>
      <c r="AC36" s="36" t="s">
        <v>116</v>
      </c>
      <c r="AD36" s="108" t="n">
        <v>150</v>
      </c>
      <c r="AE36" s="108" t="n">
        <f aca="false">IF(ISBLANK(AB36),"",AB36*AD36)</f>
        <v>1500</v>
      </c>
      <c r="AF36" s="103"/>
      <c r="AG36" s="113" t="n">
        <v>10</v>
      </c>
      <c r="AH36" s="36" t="s">
        <v>116</v>
      </c>
      <c r="AI36" s="108" t="n">
        <v>100</v>
      </c>
      <c r="AJ36" s="108" t="n">
        <f aca="false">IF(ISBLANK(AG36),"",AG36*AI36)</f>
        <v>1000</v>
      </c>
      <c r="AK36" s="103"/>
      <c r="AL36" s="113" t="n">
        <v>10</v>
      </c>
      <c r="AM36" s="36" t="s">
        <v>116</v>
      </c>
      <c r="AN36" s="108" t="n">
        <v>250</v>
      </c>
      <c r="AO36" s="108" t="n">
        <f aca="false">IF(ISBLANK(AL36),"",AL36*AN36)</f>
        <v>2500</v>
      </c>
      <c r="AP36" s="103"/>
    </row>
    <row r="37" customFormat="false" ht="11.25" hidden="false" customHeight="true" outlineLevel="0" collapsed="false">
      <c r="A37" s="174" t="str">
        <f aca="false">IF(B37&gt;0,IF(C37&gt;0,MAX($A$5:A36)+1," ")," ")</f>
        <v> </v>
      </c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74" t="n">
        <f aca="false">IF(B38&gt;0,IF(C38&gt;0,MAX($A$5:A37)+1," ")," ")</f>
        <v>16</v>
      </c>
      <c r="B38" s="70" t="s">
        <v>1119</v>
      </c>
      <c r="C38" s="113" t="n">
        <v>10</v>
      </c>
      <c r="D38" s="36" t="s">
        <v>116</v>
      </c>
      <c r="E38" s="108" t="n">
        <v>100</v>
      </c>
      <c r="F38" s="108" t="n">
        <f aca="false">IF(ISBLANK(C38),"",C38*E38)</f>
        <v>1000</v>
      </c>
      <c r="G38" s="103"/>
      <c r="H38" s="113" t="n">
        <v>10</v>
      </c>
      <c r="I38" s="36" t="s">
        <v>116</v>
      </c>
      <c r="J38" s="108" t="n">
        <v>100</v>
      </c>
      <c r="K38" s="108" t="n">
        <f aca="false">IF(ISBLANK(H38),"",H38*J38)</f>
        <v>1000</v>
      </c>
      <c r="L38" s="103"/>
      <c r="M38" s="113" t="n">
        <v>10</v>
      </c>
      <c r="N38" s="36" t="s">
        <v>116</v>
      </c>
      <c r="O38" s="108" t="n">
        <v>100</v>
      </c>
      <c r="P38" s="108" t="n">
        <f aca="false">IF(ISBLANK(M38),"",M38*O38)</f>
        <v>1000</v>
      </c>
      <c r="Q38" s="103"/>
      <c r="R38" s="113" t="n">
        <v>10</v>
      </c>
      <c r="S38" s="36" t="s">
        <v>116</v>
      </c>
      <c r="T38" s="108" t="n">
        <v>100</v>
      </c>
      <c r="U38" s="108" t="n">
        <f aca="false">IF(ISBLANK(R38),"",R38*T38)</f>
        <v>1000</v>
      </c>
      <c r="V38" s="103"/>
      <c r="W38" s="113" t="n">
        <v>10</v>
      </c>
      <c r="X38" s="36" t="s">
        <v>116</v>
      </c>
      <c r="Y38" s="108" t="n">
        <v>100</v>
      </c>
      <c r="Z38" s="108" t="n">
        <f aca="false">IF(ISBLANK(W38),"",W38*Y38)</f>
        <v>1000</v>
      </c>
      <c r="AA38" s="103"/>
      <c r="AB38" s="113" t="n">
        <v>10</v>
      </c>
      <c r="AC38" s="36" t="s">
        <v>116</v>
      </c>
      <c r="AD38" s="108" t="n">
        <v>150</v>
      </c>
      <c r="AE38" s="108" t="n">
        <f aca="false">IF(ISBLANK(AB38),"",AB38*AD38)</f>
        <v>1500</v>
      </c>
      <c r="AF38" s="103"/>
      <c r="AG38" s="113" t="n">
        <v>10</v>
      </c>
      <c r="AH38" s="36" t="s">
        <v>116</v>
      </c>
      <c r="AI38" s="108" t="n">
        <v>100</v>
      </c>
      <c r="AJ38" s="108" t="n">
        <f aca="false">IF(ISBLANK(AG38),"",AG38*AI38)</f>
        <v>1000</v>
      </c>
      <c r="AK38" s="103"/>
      <c r="AL38" s="113" t="n">
        <v>10</v>
      </c>
      <c r="AM38" s="36" t="s">
        <v>116</v>
      </c>
      <c r="AN38" s="108" t="n">
        <v>250</v>
      </c>
      <c r="AO38" s="108" t="n">
        <f aca="false">IF(ISBLANK(AL38),"",AL38*AN38)</f>
        <v>2500</v>
      </c>
      <c r="AP38" s="103"/>
    </row>
    <row r="39" customFormat="false" ht="11.25" hidden="false" customHeight="true" outlineLevel="0" collapsed="false">
      <c r="A39" s="174" t="str">
        <f aca="false">IF(B39&gt;0,IF(C39&gt;0,MAX($A$3:A38)+1," ")," ")</f>
        <v> </v>
      </c>
      <c r="B39" s="70"/>
      <c r="C39" s="111"/>
      <c r="D39" s="36"/>
      <c r="E39" s="108"/>
      <c r="F39" s="108" t="str">
        <f aca="false">IF(ISBLANK(C39),"",C39*E39)</f>
        <v/>
      </c>
      <c r="G39" s="103"/>
      <c r="H39" s="111"/>
      <c r="I39" s="36"/>
      <c r="J39" s="108"/>
      <c r="K39" s="108" t="str">
        <f aca="false">IF(ISBLANK(H39),"",H39*J39)</f>
        <v/>
      </c>
      <c r="L39" s="103"/>
      <c r="M39" s="111"/>
      <c r="N39" s="36"/>
      <c r="O39" s="108"/>
      <c r="P39" s="108" t="str">
        <f aca="false">IF(ISBLANK(M39),"",M39*O39)</f>
        <v/>
      </c>
      <c r="Q39" s="103"/>
      <c r="R39" s="111"/>
      <c r="S39" s="36"/>
      <c r="T39" s="108"/>
      <c r="U39" s="108" t="str">
        <f aca="false">IF(ISBLANK(R39),"",R39*T39)</f>
        <v/>
      </c>
      <c r="V39" s="103"/>
      <c r="W39" s="111"/>
      <c r="X39" s="36"/>
      <c r="Y39" s="108"/>
      <c r="Z39" s="108" t="str">
        <f aca="false">IF(ISBLANK(W39),"",W39*Y39)</f>
        <v/>
      </c>
      <c r="AA39" s="103"/>
      <c r="AB39" s="111"/>
      <c r="AC39" s="36"/>
      <c r="AD39" s="108"/>
      <c r="AE39" s="108" t="str">
        <f aca="false">IF(ISBLANK(AB39),"",AB39*AD39)</f>
        <v/>
      </c>
      <c r="AF39" s="103"/>
      <c r="AG39" s="111"/>
      <c r="AH39" s="36"/>
      <c r="AI39" s="108"/>
      <c r="AJ39" s="108" t="str">
        <f aca="false">IF(ISBLANK(AG39),"",AG39*AI39)</f>
        <v/>
      </c>
      <c r="AK39" s="103"/>
      <c r="AL39" s="111"/>
      <c r="AM39" s="36"/>
      <c r="AN39" s="108"/>
      <c r="AO39" s="108" t="str">
        <f aca="false">IF(ISBLANK(AL39),"",AL39*AN39)</f>
        <v/>
      </c>
      <c r="AP39" s="103"/>
    </row>
    <row r="40" customFormat="false" ht="11.25" hidden="false" customHeight="true" outlineLevel="0" collapsed="false">
      <c r="A40" s="174" t="n">
        <f aca="false">IF(B40&gt;0,IF(C40&gt;0,MAX($A$5:A39)+1," ")," ")</f>
        <v>17</v>
      </c>
      <c r="B40" s="70" t="s">
        <v>1120</v>
      </c>
      <c r="C40" s="113" t="n">
        <v>10</v>
      </c>
      <c r="D40" s="36" t="s">
        <v>116</v>
      </c>
      <c r="E40" s="108" t="n">
        <v>100</v>
      </c>
      <c r="F40" s="108" t="n">
        <f aca="false">IF(ISBLANK(C40),"",C40*E40)</f>
        <v>1000</v>
      </c>
      <c r="G40" s="103"/>
      <c r="H40" s="113" t="n">
        <v>10</v>
      </c>
      <c r="I40" s="36" t="s">
        <v>116</v>
      </c>
      <c r="J40" s="108" t="n">
        <v>100</v>
      </c>
      <c r="K40" s="108" t="n">
        <f aca="false">IF(ISBLANK(H40),"",H40*J40)</f>
        <v>1000</v>
      </c>
      <c r="L40" s="103"/>
      <c r="M40" s="113" t="n">
        <v>10</v>
      </c>
      <c r="N40" s="36" t="s">
        <v>116</v>
      </c>
      <c r="O40" s="108" t="n">
        <v>100</v>
      </c>
      <c r="P40" s="108" t="n">
        <f aca="false">IF(ISBLANK(M40),"",M40*O40)</f>
        <v>1000</v>
      </c>
      <c r="Q40" s="103"/>
      <c r="R40" s="113" t="n">
        <v>10</v>
      </c>
      <c r="S40" s="36" t="s">
        <v>116</v>
      </c>
      <c r="T40" s="108" t="n">
        <v>100</v>
      </c>
      <c r="U40" s="108" t="n">
        <f aca="false">IF(ISBLANK(R40),"",R40*T40)</f>
        <v>1000</v>
      </c>
      <c r="V40" s="103"/>
      <c r="W40" s="113" t="n">
        <v>10</v>
      </c>
      <c r="X40" s="36" t="s">
        <v>116</v>
      </c>
      <c r="Y40" s="108" t="n">
        <v>100</v>
      </c>
      <c r="Z40" s="108" t="n">
        <f aca="false">IF(ISBLANK(W40),"",W40*Y40)</f>
        <v>1000</v>
      </c>
      <c r="AA40" s="103"/>
      <c r="AB40" s="113" t="n">
        <v>10</v>
      </c>
      <c r="AC40" s="36" t="s">
        <v>116</v>
      </c>
      <c r="AD40" s="108" t="n">
        <v>150</v>
      </c>
      <c r="AE40" s="108" t="n">
        <f aca="false">IF(ISBLANK(AB40),"",AB40*AD40)</f>
        <v>1500</v>
      </c>
      <c r="AF40" s="103"/>
      <c r="AG40" s="113" t="n">
        <v>10</v>
      </c>
      <c r="AH40" s="36" t="s">
        <v>116</v>
      </c>
      <c r="AI40" s="108" t="n">
        <v>250</v>
      </c>
      <c r="AJ40" s="108" t="n">
        <f aca="false">IF(ISBLANK(AG40),"",AG40*AI40)</f>
        <v>2500</v>
      </c>
      <c r="AK40" s="103"/>
      <c r="AL40" s="113" t="n">
        <v>10</v>
      </c>
      <c r="AM40" s="36" t="s">
        <v>116</v>
      </c>
      <c r="AN40" s="108" t="n">
        <v>250</v>
      </c>
      <c r="AO40" s="108" t="n">
        <f aca="false">IF(ISBLANK(AL40),"",AL40*AN40)</f>
        <v>2500</v>
      </c>
      <c r="AP40" s="103"/>
    </row>
    <row r="41" customFormat="false" ht="11.25" hidden="false" customHeight="true" outlineLevel="0" collapsed="false">
      <c r="A41" s="174" t="str">
        <f aca="false">IF(B41&gt;0,IF(C41&gt;0,MAX($A$5:A40)+1," ")," ")</f>
        <v> </v>
      </c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74" t="n">
        <f aca="false">IF(B42&gt;0,IF(C42&gt;0,MAX($A$5:A41)+1," ")," ")</f>
        <v>18</v>
      </c>
      <c r="B42" s="70" t="s">
        <v>1121</v>
      </c>
      <c r="C42" s="113" t="n">
        <v>10</v>
      </c>
      <c r="D42" s="36" t="s">
        <v>116</v>
      </c>
      <c r="E42" s="108" t="n">
        <v>100</v>
      </c>
      <c r="F42" s="108" t="n">
        <f aca="false">IF(ISBLANK(C42),"",C42*E42)</f>
        <v>1000</v>
      </c>
      <c r="G42" s="103"/>
      <c r="H42" s="113" t="n">
        <v>10</v>
      </c>
      <c r="I42" s="36" t="s">
        <v>116</v>
      </c>
      <c r="J42" s="108" t="n">
        <v>100</v>
      </c>
      <c r="K42" s="108" t="n">
        <f aca="false">IF(ISBLANK(H42),"",H42*J42)</f>
        <v>1000</v>
      </c>
      <c r="L42" s="103"/>
      <c r="M42" s="113" t="n">
        <v>10</v>
      </c>
      <c r="N42" s="36" t="s">
        <v>116</v>
      </c>
      <c r="O42" s="108" t="n">
        <v>100</v>
      </c>
      <c r="P42" s="108" t="n">
        <f aca="false">IF(ISBLANK(M42),"",M42*O42)</f>
        <v>1000</v>
      </c>
      <c r="Q42" s="103"/>
      <c r="R42" s="113" t="n">
        <v>10</v>
      </c>
      <c r="S42" s="36" t="s">
        <v>116</v>
      </c>
      <c r="T42" s="108" t="n">
        <v>100</v>
      </c>
      <c r="U42" s="108" t="n">
        <f aca="false">IF(ISBLANK(R42),"",R42*T42)</f>
        <v>1000</v>
      </c>
      <c r="V42" s="103"/>
      <c r="W42" s="113" t="n">
        <v>10</v>
      </c>
      <c r="X42" s="36" t="s">
        <v>116</v>
      </c>
      <c r="Y42" s="108" t="n">
        <v>100</v>
      </c>
      <c r="Z42" s="108" t="n">
        <f aca="false">IF(ISBLANK(W42),"",W42*Y42)</f>
        <v>1000</v>
      </c>
      <c r="AA42" s="103"/>
      <c r="AB42" s="113" t="n">
        <v>10</v>
      </c>
      <c r="AC42" s="36" t="s">
        <v>116</v>
      </c>
      <c r="AD42" s="108" t="n">
        <v>150</v>
      </c>
      <c r="AE42" s="108" t="n">
        <f aca="false">IF(ISBLANK(AB42),"",AB42*AD42)</f>
        <v>1500</v>
      </c>
      <c r="AF42" s="103"/>
      <c r="AG42" s="113" t="n">
        <v>10</v>
      </c>
      <c r="AH42" s="36" t="s">
        <v>116</v>
      </c>
      <c r="AI42" s="108" t="n">
        <v>100</v>
      </c>
      <c r="AJ42" s="108" t="n">
        <f aca="false">IF(ISBLANK(AG42),"",AG42*AI42)</f>
        <v>1000</v>
      </c>
      <c r="AK42" s="103"/>
      <c r="AL42" s="113" t="n">
        <v>10</v>
      </c>
      <c r="AM42" s="36" t="s">
        <v>116</v>
      </c>
      <c r="AN42" s="108" t="n">
        <v>250</v>
      </c>
      <c r="AO42" s="108" t="n">
        <f aca="false">IF(ISBLANK(AL42),"",AL42*AN42)</f>
        <v>2500</v>
      </c>
      <c r="AP42" s="103"/>
    </row>
    <row r="43" customFormat="false" ht="11.25" hidden="false" customHeight="true" outlineLevel="0" collapsed="false">
      <c r="A43" s="174" t="str">
        <f aca="false">IF(B43&gt;0,IF(C43&gt;0,MAX($A$5:A42)+1," ")," ")</f>
        <v> </v>
      </c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74" t="n">
        <f aca="false">IF(B44&gt;0,IF(C44&gt;0,MAX($A$5:A43)+1," ")," ")</f>
        <v>19</v>
      </c>
      <c r="B44" s="70" t="s">
        <v>1079</v>
      </c>
      <c r="C44" s="113" t="n">
        <v>10</v>
      </c>
      <c r="D44" s="36" t="s">
        <v>116</v>
      </c>
      <c r="E44" s="108" t="n">
        <v>100</v>
      </c>
      <c r="F44" s="108" t="n">
        <f aca="false">IF(ISBLANK(C44),"",C44*E44)</f>
        <v>1000</v>
      </c>
      <c r="G44" s="103"/>
      <c r="H44" s="113" t="n">
        <v>10</v>
      </c>
      <c r="I44" s="36" t="s">
        <v>116</v>
      </c>
      <c r="J44" s="108" t="n">
        <v>100</v>
      </c>
      <c r="K44" s="108" t="n">
        <f aca="false">IF(ISBLANK(H44),"",H44*J44)</f>
        <v>1000</v>
      </c>
      <c r="L44" s="103"/>
      <c r="M44" s="113" t="n">
        <v>10</v>
      </c>
      <c r="N44" s="36" t="s">
        <v>116</v>
      </c>
      <c r="O44" s="108" t="n">
        <v>100</v>
      </c>
      <c r="P44" s="108" t="n">
        <f aca="false">IF(ISBLANK(M44),"",M44*O44)</f>
        <v>1000</v>
      </c>
      <c r="Q44" s="103"/>
      <c r="R44" s="113" t="n">
        <v>10</v>
      </c>
      <c r="S44" s="36" t="s">
        <v>116</v>
      </c>
      <c r="T44" s="108" t="n">
        <v>100</v>
      </c>
      <c r="U44" s="108" t="n">
        <f aca="false">IF(ISBLANK(R44),"",R44*T44)</f>
        <v>1000</v>
      </c>
      <c r="V44" s="103"/>
      <c r="W44" s="113" t="n">
        <v>10</v>
      </c>
      <c r="X44" s="36" t="s">
        <v>116</v>
      </c>
      <c r="Y44" s="108" t="n">
        <v>100</v>
      </c>
      <c r="Z44" s="108" t="n">
        <f aca="false">IF(ISBLANK(W44),"",W44*Y44)</f>
        <v>1000</v>
      </c>
      <c r="AA44" s="103"/>
      <c r="AB44" s="113" t="n">
        <v>10</v>
      </c>
      <c r="AC44" s="36" t="s">
        <v>116</v>
      </c>
      <c r="AD44" s="108" t="n">
        <v>150</v>
      </c>
      <c r="AE44" s="108" t="n">
        <f aca="false">IF(ISBLANK(AB44),"",AB44*AD44)</f>
        <v>1500</v>
      </c>
      <c r="AF44" s="103"/>
      <c r="AG44" s="113" t="n">
        <v>10</v>
      </c>
      <c r="AH44" s="36" t="s">
        <v>116</v>
      </c>
      <c r="AI44" s="108" t="n">
        <v>100</v>
      </c>
      <c r="AJ44" s="108" t="n">
        <f aca="false">IF(ISBLANK(AG44),"",AG44*AI44)</f>
        <v>1000</v>
      </c>
      <c r="AK44" s="103"/>
      <c r="AL44" s="113" t="n">
        <v>10</v>
      </c>
      <c r="AM44" s="36" t="s">
        <v>116</v>
      </c>
      <c r="AN44" s="108" t="n">
        <v>250</v>
      </c>
      <c r="AO44" s="108" t="n">
        <f aca="false">IF(ISBLANK(AL44),"",AL44*AN44)</f>
        <v>2500</v>
      </c>
      <c r="AP44" s="103"/>
    </row>
    <row r="45" customFormat="false" ht="11.25" hidden="false" customHeight="true" outlineLevel="0" collapsed="false">
      <c r="A45" s="174" t="str">
        <f aca="false">IF(B45&gt;0,IF(C45&gt;0,MAX($A$5:A44)+1," ")," ")</f>
        <v> </v>
      </c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74" t="n">
        <f aca="false">IF(B46&gt;0,IF(C46&gt;0,MAX($A$5:A45)+1," ")," ")</f>
        <v>20</v>
      </c>
      <c r="B46" s="70" t="s">
        <v>1122</v>
      </c>
      <c r="C46" s="113" t="n">
        <v>10</v>
      </c>
      <c r="D46" s="36" t="s">
        <v>116</v>
      </c>
      <c r="E46" s="108" t="n">
        <v>100</v>
      </c>
      <c r="F46" s="108" t="n">
        <f aca="false">IF(ISBLANK(C46),"",C46*E46)</f>
        <v>1000</v>
      </c>
      <c r="G46" s="103"/>
      <c r="H46" s="113" t="n">
        <v>10</v>
      </c>
      <c r="I46" s="36" t="s">
        <v>116</v>
      </c>
      <c r="J46" s="108" t="n">
        <v>100</v>
      </c>
      <c r="K46" s="108" t="n">
        <f aca="false">IF(ISBLANK(H46),"",H46*J46)</f>
        <v>1000</v>
      </c>
      <c r="L46" s="103"/>
      <c r="M46" s="113" t="n">
        <v>10</v>
      </c>
      <c r="N46" s="36" t="s">
        <v>116</v>
      </c>
      <c r="O46" s="108" t="n">
        <v>100</v>
      </c>
      <c r="P46" s="108" t="n">
        <f aca="false">IF(ISBLANK(M46),"",M46*O46)</f>
        <v>1000</v>
      </c>
      <c r="Q46" s="103"/>
      <c r="R46" s="113" t="n">
        <v>10</v>
      </c>
      <c r="S46" s="36" t="s">
        <v>116</v>
      </c>
      <c r="T46" s="108" t="n">
        <v>100</v>
      </c>
      <c r="U46" s="108" t="n">
        <f aca="false">IF(ISBLANK(R46),"",R46*T46)</f>
        <v>1000</v>
      </c>
      <c r="V46" s="103"/>
      <c r="W46" s="113" t="n">
        <v>10</v>
      </c>
      <c r="X46" s="36" t="s">
        <v>116</v>
      </c>
      <c r="Y46" s="108" t="n">
        <v>100</v>
      </c>
      <c r="Z46" s="108" t="n">
        <f aca="false">IF(ISBLANK(W46),"",W46*Y46)</f>
        <v>1000</v>
      </c>
      <c r="AA46" s="103"/>
      <c r="AB46" s="113" t="n">
        <v>10</v>
      </c>
      <c r="AC46" s="36" t="s">
        <v>116</v>
      </c>
      <c r="AD46" s="108" t="n">
        <v>150</v>
      </c>
      <c r="AE46" s="108" t="n">
        <f aca="false">IF(ISBLANK(AB46),"",AB46*AD46)</f>
        <v>1500</v>
      </c>
      <c r="AF46" s="103"/>
      <c r="AG46" s="113" t="n">
        <v>10</v>
      </c>
      <c r="AH46" s="36" t="s">
        <v>116</v>
      </c>
      <c r="AI46" s="108" t="n">
        <v>100</v>
      </c>
      <c r="AJ46" s="108" t="n">
        <f aca="false">IF(ISBLANK(AG46),"",AG46*AI46)</f>
        <v>1000</v>
      </c>
      <c r="AK46" s="103"/>
      <c r="AL46" s="113" t="n">
        <v>10</v>
      </c>
      <c r="AM46" s="36" t="s">
        <v>116</v>
      </c>
      <c r="AN46" s="108" t="n">
        <v>250</v>
      </c>
      <c r="AO46" s="108" t="n">
        <f aca="false">IF(ISBLANK(AL46),"",AL46*AN46)</f>
        <v>2500</v>
      </c>
      <c r="AP46" s="103"/>
    </row>
    <row r="47" customFormat="false" ht="11.25" hidden="false" customHeight="true" outlineLevel="0" collapsed="false">
      <c r="A47" s="109"/>
      <c r="B47" s="70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74" t="str">
        <f aca="false">IF(B48&gt;0,IF(C48&gt;0,MAX($A$5:A30)+1," ")," ")</f>
        <v> </v>
      </c>
      <c r="B48" s="116" t="s">
        <v>224</v>
      </c>
      <c r="C48" s="106"/>
      <c r="D48" s="37"/>
      <c r="E48" s="107"/>
      <c r="F48" s="107" t="str">
        <f aca="false">IF(ISBLANK(C48),"",C48*E48)</f>
        <v/>
      </c>
      <c r="G48" s="103"/>
      <c r="H48" s="106"/>
      <c r="I48" s="37"/>
      <c r="J48" s="107"/>
      <c r="K48" s="107" t="str">
        <f aca="false">IF(ISBLANK(H48),"",H48*J48)</f>
        <v/>
      </c>
      <c r="L48" s="103"/>
      <c r="M48" s="106"/>
      <c r="N48" s="37"/>
      <c r="O48" s="107"/>
      <c r="P48" s="107" t="str">
        <f aca="false">IF(ISBLANK(M48),"",M48*O48)</f>
        <v/>
      </c>
      <c r="Q48" s="103"/>
      <c r="R48" s="106"/>
      <c r="S48" s="37"/>
      <c r="T48" s="107"/>
      <c r="U48" s="107" t="str">
        <f aca="false">IF(ISBLANK(R48),"",R48*T48)</f>
        <v/>
      </c>
      <c r="V48" s="103"/>
      <c r="W48" s="106"/>
      <c r="X48" s="37"/>
      <c r="Y48" s="107"/>
      <c r="Z48" s="107" t="str">
        <f aca="false">IF(ISBLANK(W48),"",W48*Y48)</f>
        <v/>
      </c>
      <c r="AA48" s="103"/>
      <c r="AB48" s="106"/>
      <c r="AC48" s="37"/>
      <c r="AD48" s="107"/>
      <c r="AE48" s="107" t="str">
        <f aca="false">IF(ISBLANK(AB48),"",AB48*AD48)</f>
        <v/>
      </c>
      <c r="AF48" s="103"/>
      <c r="AG48" s="106"/>
      <c r="AH48" s="37"/>
      <c r="AI48" s="107"/>
      <c r="AJ48" s="107" t="str">
        <f aca="false">IF(ISBLANK(AG48),"",AG48*AI48)</f>
        <v/>
      </c>
      <c r="AK48" s="103"/>
      <c r="AL48" s="106"/>
      <c r="AM48" s="37"/>
      <c r="AN48" s="107"/>
      <c r="AO48" s="107" t="str">
        <f aca="false">IF(ISBLANK(AL48),"",AL48*AN48)</f>
        <v/>
      </c>
      <c r="AP48" s="103"/>
    </row>
    <row r="49" customFormat="false" ht="11.25" hidden="false" customHeight="true" outlineLevel="0" collapsed="false">
      <c r="A49" s="174" t="n">
        <f aca="false">IF(B49&gt;0,IF(C49&gt;0,MAX($A$5:A48)+1," ")," ")</f>
        <v>21</v>
      </c>
      <c r="B49" s="70" t="s">
        <v>225</v>
      </c>
      <c r="C49" s="106" t="n">
        <v>1</v>
      </c>
      <c r="D49" s="37" t="s">
        <v>209</v>
      </c>
      <c r="E49" s="107"/>
      <c r="F49" s="107" t="n">
        <f aca="false">IF(ISBLANK(C49),"",C49*E49)</f>
        <v>0</v>
      </c>
      <c r="G49" s="103"/>
      <c r="H49" s="106" t="n">
        <v>1</v>
      </c>
      <c r="I49" s="37" t="s">
        <v>209</v>
      </c>
      <c r="J49" s="107"/>
      <c r="K49" s="107" t="n">
        <f aca="false">IF(ISBLANK(H49),"",H49*J49)</f>
        <v>0</v>
      </c>
      <c r="L49" s="103"/>
      <c r="M49" s="106" t="n">
        <v>1</v>
      </c>
      <c r="N49" s="37" t="s">
        <v>209</v>
      </c>
      <c r="O49" s="107"/>
      <c r="P49" s="107" t="n">
        <f aca="false">IF(ISBLANK(M49),"",M49*O49)</f>
        <v>0</v>
      </c>
      <c r="Q49" s="103"/>
      <c r="R49" s="106" t="n">
        <v>1</v>
      </c>
      <c r="S49" s="37" t="s">
        <v>209</v>
      </c>
      <c r="T49" s="107"/>
      <c r="U49" s="107" t="n">
        <f aca="false">IF(ISBLANK(R49),"",R49*T49)</f>
        <v>0</v>
      </c>
      <c r="V49" s="103"/>
      <c r="W49" s="106" t="n">
        <v>1</v>
      </c>
      <c r="X49" s="37" t="s">
        <v>209</v>
      </c>
      <c r="Y49" s="107"/>
      <c r="Z49" s="107" t="n">
        <f aca="false">IF(ISBLANK(W49),"",W49*Y49)</f>
        <v>0</v>
      </c>
      <c r="AA49" s="103"/>
      <c r="AB49" s="106" t="n">
        <v>1</v>
      </c>
      <c r="AC49" s="37" t="s">
        <v>209</v>
      </c>
      <c r="AD49" s="107"/>
      <c r="AE49" s="107" t="n">
        <f aca="false">IF(ISBLANK(AB49),"",AB49*AD49)</f>
        <v>0</v>
      </c>
      <c r="AF49" s="103"/>
      <c r="AG49" s="106" t="n">
        <v>1</v>
      </c>
      <c r="AH49" s="37" t="s">
        <v>209</v>
      </c>
      <c r="AI49" s="107"/>
      <c r="AJ49" s="107" t="n">
        <f aca="false">IF(ISBLANK(AG49),"",AG49*AI49)</f>
        <v>0</v>
      </c>
      <c r="AK49" s="103"/>
      <c r="AL49" s="106" t="n">
        <v>1</v>
      </c>
      <c r="AM49" s="37" t="s">
        <v>209</v>
      </c>
      <c r="AN49" s="107"/>
      <c r="AO49" s="107" t="n">
        <f aca="false">IF(ISBLANK(AL49),"",AL49*AN49)</f>
        <v>0</v>
      </c>
      <c r="AP49" s="103"/>
    </row>
    <row r="50" customFormat="false" ht="11.25" hidden="false" customHeight="true" outlineLevel="0" collapsed="false">
      <c r="A50" s="174" t="n">
        <f aca="false">IF(B50&gt;0,IF(C50&gt;0,MAX($A$5:A49)+1," ")," ")</f>
        <v>22</v>
      </c>
      <c r="B50" s="70" t="s">
        <v>225</v>
      </c>
      <c r="C50" s="106" t="n">
        <v>1</v>
      </c>
      <c r="D50" s="37" t="s">
        <v>226</v>
      </c>
      <c r="E50" s="107"/>
      <c r="F50" s="107" t="n">
        <f aca="false">IF(ISBLANK(C50),"",C50*E50)</f>
        <v>0</v>
      </c>
      <c r="G50" s="103"/>
      <c r="H50" s="106" t="n">
        <v>1</v>
      </c>
      <c r="I50" s="37" t="s">
        <v>226</v>
      </c>
      <c r="J50" s="107"/>
      <c r="K50" s="107" t="n">
        <f aca="false">IF(ISBLANK(H50),"",H50*J50)</f>
        <v>0</v>
      </c>
      <c r="L50" s="103"/>
      <c r="M50" s="106" t="n">
        <v>1</v>
      </c>
      <c r="N50" s="37" t="s">
        <v>226</v>
      </c>
      <c r="O50" s="107"/>
      <c r="P50" s="107" t="n">
        <f aca="false">IF(ISBLANK(M50),"",M50*O50)</f>
        <v>0</v>
      </c>
      <c r="Q50" s="103"/>
      <c r="R50" s="106" t="n">
        <v>1</v>
      </c>
      <c r="S50" s="37" t="s">
        <v>226</v>
      </c>
      <c r="T50" s="107"/>
      <c r="U50" s="107" t="n">
        <f aca="false">IF(ISBLANK(R50),"",R50*T50)</f>
        <v>0</v>
      </c>
      <c r="V50" s="103"/>
      <c r="W50" s="106" t="n">
        <v>1</v>
      </c>
      <c r="X50" s="37" t="s">
        <v>226</v>
      </c>
      <c r="Y50" s="107"/>
      <c r="Z50" s="107" t="n">
        <f aca="false">IF(ISBLANK(W50),"",W50*Y50)</f>
        <v>0</v>
      </c>
      <c r="AA50" s="103"/>
      <c r="AB50" s="106" t="n">
        <v>1</v>
      </c>
      <c r="AC50" s="37" t="s">
        <v>226</v>
      </c>
      <c r="AD50" s="107"/>
      <c r="AE50" s="107" t="n">
        <f aca="false">IF(ISBLANK(AB50),"",AB50*AD50)</f>
        <v>0</v>
      </c>
      <c r="AF50" s="103"/>
      <c r="AG50" s="106" t="n">
        <v>1</v>
      </c>
      <c r="AH50" s="37" t="s">
        <v>226</v>
      </c>
      <c r="AI50" s="107"/>
      <c r="AJ50" s="107" t="n">
        <f aca="false">IF(ISBLANK(AG50),"",AG50*AI50)</f>
        <v>0</v>
      </c>
      <c r="AK50" s="103"/>
      <c r="AL50" s="106" t="n">
        <v>1</v>
      </c>
      <c r="AM50" s="37" t="s">
        <v>226</v>
      </c>
      <c r="AN50" s="107"/>
      <c r="AO50" s="107" t="n">
        <f aca="false">IF(ISBLANK(AL50),"",AL50*AN50)</f>
        <v>0</v>
      </c>
      <c r="AP50" s="103"/>
    </row>
    <row r="51" customFormat="false" ht="11.25" hidden="false" customHeight="true" outlineLevel="0" collapsed="false">
      <c r="A51" s="174" t="n">
        <f aca="false">IF(B51&gt;0,IF(C51&gt;0,MAX($A$5:A50)+1," ")," ")</f>
        <v>23</v>
      </c>
      <c r="B51" s="70" t="s">
        <v>225</v>
      </c>
      <c r="C51" s="106" t="n">
        <v>1</v>
      </c>
      <c r="D51" s="37" t="s">
        <v>226</v>
      </c>
      <c r="E51" s="107"/>
      <c r="F51" s="107" t="n">
        <f aca="false">IF(ISBLANK(C51),"",C51*E51)</f>
        <v>0</v>
      </c>
      <c r="G51" s="103"/>
      <c r="H51" s="106" t="n">
        <v>1</v>
      </c>
      <c r="I51" s="37" t="s">
        <v>226</v>
      </c>
      <c r="J51" s="107"/>
      <c r="K51" s="107" t="n">
        <f aca="false">IF(ISBLANK(H51),"",H51*J51)</f>
        <v>0</v>
      </c>
      <c r="L51" s="103"/>
      <c r="M51" s="106" t="n">
        <v>1</v>
      </c>
      <c r="N51" s="37" t="s">
        <v>226</v>
      </c>
      <c r="O51" s="107"/>
      <c r="P51" s="107" t="n">
        <f aca="false">IF(ISBLANK(M51),"",M51*O51)</f>
        <v>0</v>
      </c>
      <c r="Q51" s="103"/>
      <c r="R51" s="106" t="n">
        <v>1</v>
      </c>
      <c r="S51" s="37" t="s">
        <v>226</v>
      </c>
      <c r="T51" s="107"/>
      <c r="U51" s="107" t="n">
        <f aca="false">IF(ISBLANK(R51),"",R51*T51)</f>
        <v>0</v>
      </c>
      <c r="V51" s="103"/>
      <c r="W51" s="106" t="n">
        <v>1</v>
      </c>
      <c r="X51" s="37" t="s">
        <v>226</v>
      </c>
      <c r="Y51" s="107"/>
      <c r="Z51" s="107" t="n">
        <f aca="false">IF(ISBLANK(W51),"",W51*Y51)</f>
        <v>0</v>
      </c>
      <c r="AA51" s="103"/>
      <c r="AB51" s="106" t="n">
        <v>1</v>
      </c>
      <c r="AC51" s="37" t="s">
        <v>226</v>
      </c>
      <c r="AD51" s="107"/>
      <c r="AE51" s="107" t="n">
        <f aca="false">IF(ISBLANK(AB51),"",AB51*AD51)</f>
        <v>0</v>
      </c>
      <c r="AF51" s="103"/>
      <c r="AG51" s="106" t="n">
        <v>1</v>
      </c>
      <c r="AH51" s="37" t="s">
        <v>226</v>
      </c>
      <c r="AI51" s="107"/>
      <c r="AJ51" s="107" t="n">
        <f aca="false">IF(ISBLANK(AG51),"",AG51*AI51)</f>
        <v>0</v>
      </c>
      <c r="AK51" s="103"/>
      <c r="AL51" s="106" t="n">
        <v>1</v>
      </c>
      <c r="AM51" s="37" t="s">
        <v>226</v>
      </c>
      <c r="AN51" s="107"/>
      <c r="AO51" s="107" t="n">
        <f aca="false">IF(ISBLANK(AL51),"",AL51*AN51)</f>
        <v>0</v>
      </c>
      <c r="AP51" s="103"/>
    </row>
    <row r="52" customFormat="false" ht="11.25" hidden="false" customHeight="true" outlineLevel="0" collapsed="false">
      <c r="A52" s="174" t="n">
        <f aca="false">IF(B52&gt;0,IF(C52&gt;0,MAX($A$5:A51)+1," ")," ")</f>
        <v>24</v>
      </c>
      <c r="B52" s="70" t="s">
        <v>225</v>
      </c>
      <c r="C52" s="106" t="n">
        <v>1</v>
      </c>
      <c r="D52" s="37" t="s">
        <v>226</v>
      </c>
      <c r="E52" s="107"/>
      <c r="F52" s="107" t="n">
        <f aca="false">IF(ISBLANK(C52),"",C52*E52)</f>
        <v>0</v>
      </c>
      <c r="G52" s="103"/>
      <c r="H52" s="106" t="n">
        <v>1</v>
      </c>
      <c r="I52" s="37" t="s">
        <v>226</v>
      </c>
      <c r="J52" s="107"/>
      <c r="K52" s="107" t="n">
        <f aca="false">IF(ISBLANK(H52),"",H52*J52)</f>
        <v>0</v>
      </c>
      <c r="L52" s="103"/>
      <c r="M52" s="106" t="n">
        <v>1</v>
      </c>
      <c r="N52" s="37" t="s">
        <v>226</v>
      </c>
      <c r="O52" s="107"/>
      <c r="P52" s="107" t="n">
        <f aca="false">IF(ISBLANK(M52),"",M52*O52)</f>
        <v>0</v>
      </c>
      <c r="Q52" s="103"/>
      <c r="R52" s="106" t="n">
        <v>1</v>
      </c>
      <c r="S52" s="37" t="s">
        <v>226</v>
      </c>
      <c r="T52" s="107"/>
      <c r="U52" s="107" t="n">
        <f aca="false">IF(ISBLANK(R52),"",R52*T52)</f>
        <v>0</v>
      </c>
      <c r="V52" s="103"/>
      <c r="W52" s="106" t="n">
        <v>1</v>
      </c>
      <c r="X52" s="37" t="s">
        <v>226</v>
      </c>
      <c r="Y52" s="107"/>
      <c r="Z52" s="107" t="n">
        <f aca="false">IF(ISBLANK(W52),"",W52*Y52)</f>
        <v>0</v>
      </c>
      <c r="AA52" s="103"/>
      <c r="AB52" s="106" t="n">
        <v>1</v>
      </c>
      <c r="AC52" s="37" t="s">
        <v>226</v>
      </c>
      <c r="AD52" s="107"/>
      <c r="AE52" s="107" t="n">
        <f aca="false">IF(ISBLANK(AB52),"",AB52*AD52)</f>
        <v>0</v>
      </c>
      <c r="AF52" s="103"/>
      <c r="AG52" s="106" t="n">
        <v>1</v>
      </c>
      <c r="AH52" s="37" t="s">
        <v>226</v>
      </c>
      <c r="AI52" s="107"/>
      <c r="AJ52" s="107" t="n">
        <f aca="false">IF(ISBLANK(AG52),"",AG52*AI52)</f>
        <v>0</v>
      </c>
      <c r="AK52" s="103"/>
      <c r="AL52" s="106" t="n">
        <v>1</v>
      </c>
      <c r="AM52" s="37" t="s">
        <v>226</v>
      </c>
      <c r="AN52" s="107"/>
      <c r="AO52" s="107" t="n">
        <f aca="false">IF(ISBLANK(AL52),"",AL52*AN52)</f>
        <v>0</v>
      </c>
      <c r="AP52" s="103"/>
    </row>
    <row r="53" customFormat="false" ht="11.25" hidden="false" customHeight="true" outlineLevel="0" collapsed="false">
      <c r="A53" s="174" t="str">
        <f aca="false">IF(B53&gt;0,IF(C53&gt;0,MAX($A$3:A30)+1," ")," ")</f>
        <v> </v>
      </c>
      <c r="B53" s="112"/>
      <c r="C53" s="111"/>
      <c r="D53" s="36"/>
      <c r="E53" s="108"/>
      <c r="F53" s="108" t="str">
        <f aca="false">IF(ISBLANK(C53),"",C53*E53)</f>
        <v/>
      </c>
      <c r="G53" s="103"/>
      <c r="H53" s="111"/>
      <c r="I53" s="36"/>
      <c r="J53" s="108"/>
      <c r="K53" s="108" t="str">
        <f aca="false">IF(ISBLANK(H53),"",H53*J53)</f>
        <v/>
      </c>
      <c r="L53" s="103"/>
      <c r="M53" s="111"/>
      <c r="N53" s="36"/>
      <c r="O53" s="108"/>
      <c r="P53" s="108" t="str">
        <f aca="false">IF(ISBLANK(M53),"",M53*O53)</f>
        <v/>
      </c>
      <c r="Q53" s="103"/>
      <c r="R53" s="111"/>
      <c r="S53" s="36"/>
      <c r="T53" s="108"/>
      <c r="U53" s="108" t="str">
        <f aca="false">IF(ISBLANK(R53),"",R53*T53)</f>
        <v/>
      </c>
      <c r="V53" s="103"/>
      <c r="W53" s="111"/>
      <c r="X53" s="36"/>
      <c r="Y53" s="108"/>
      <c r="Z53" s="108" t="str">
        <f aca="false">IF(ISBLANK(W53),"",W53*Y53)</f>
        <v/>
      </c>
      <c r="AA53" s="103"/>
      <c r="AB53" s="111"/>
      <c r="AC53" s="36"/>
      <c r="AD53" s="108"/>
      <c r="AE53" s="108" t="str">
        <f aca="false">IF(ISBLANK(AB53),"",AB53*AD53)</f>
        <v/>
      </c>
      <c r="AF53" s="103"/>
      <c r="AG53" s="111"/>
      <c r="AH53" s="36"/>
      <c r="AI53" s="108"/>
      <c r="AJ53" s="108" t="str">
        <f aca="false">IF(ISBLANK(AG53),"",AG53*AI53)</f>
        <v/>
      </c>
      <c r="AK53" s="103"/>
      <c r="AL53" s="111"/>
      <c r="AM53" s="36"/>
      <c r="AN53" s="108"/>
      <c r="AO53" s="108" t="str">
        <f aca="false">IF(ISBLANK(AL53),"",AL53*AN53)</f>
        <v/>
      </c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 t="s">
        <v>177</v>
      </c>
      <c r="F54" s="117" t="n">
        <f aca="false">SUM(F5:F53)</f>
        <v>20000</v>
      </c>
      <c r="G54" s="103"/>
      <c r="H54" s="98"/>
      <c r="I54" s="98"/>
      <c r="J54" s="117" t="s">
        <v>177</v>
      </c>
      <c r="K54" s="117" t="n">
        <f aca="false">SUM(K5:K53)</f>
        <v>20000</v>
      </c>
      <c r="L54" s="103"/>
      <c r="M54" s="98"/>
      <c r="N54" s="98"/>
      <c r="O54" s="117" t="s">
        <v>177</v>
      </c>
      <c r="P54" s="117" t="n">
        <f aca="false">SUM(P5:P53)</f>
        <v>20000</v>
      </c>
      <c r="Q54" s="103"/>
      <c r="R54" s="98"/>
      <c r="S54" s="98"/>
      <c r="T54" s="117" t="s">
        <v>177</v>
      </c>
      <c r="U54" s="117" t="n">
        <f aca="false">SUM(U5:U53)</f>
        <v>20000</v>
      </c>
      <c r="V54" s="103"/>
      <c r="W54" s="98"/>
      <c r="X54" s="98"/>
      <c r="Y54" s="117" t="s">
        <v>177</v>
      </c>
      <c r="Z54" s="117" t="n">
        <f aca="false">SUM(Z5:Z53)</f>
        <v>20000</v>
      </c>
      <c r="AA54" s="103"/>
      <c r="AB54" s="98"/>
      <c r="AC54" s="98"/>
      <c r="AD54" s="117" t="s">
        <v>177</v>
      </c>
      <c r="AE54" s="117" t="n">
        <f aca="false">SUM(AE5:AE53)</f>
        <v>30000</v>
      </c>
      <c r="AF54" s="103"/>
      <c r="AG54" s="98"/>
      <c r="AH54" s="98"/>
      <c r="AI54" s="117" t="s">
        <v>177</v>
      </c>
      <c r="AJ54" s="117" t="n">
        <f aca="false">SUM(AJ5:AJ53)</f>
        <v>27500</v>
      </c>
      <c r="AK54" s="103"/>
      <c r="AL54" s="98"/>
      <c r="AM54" s="98"/>
      <c r="AN54" s="117" t="s">
        <v>177</v>
      </c>
      <c r="AO54" s="117" t="n">
        <f aca="false">SUM(AO5:AO53)</f>
        <v>50000</v>
      </c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13.18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/>
      <c r="D3" s="99"/>
      <c r="E3" s="99"/>
      <c r="F3" s="99"/>
      <c r="G3" s="100"/>
      <c r="H3" s="99"/>
      <c r="I3" s="99"/>
      <c r="J3" s="99"/>
      <c r="K3" s="99"/>
      <c r="L3" s="100"/>
      <c r="M3" s="99"/>
      <c r="N3" s="99"/>
      <c r="O3" s="99"/>
      <c r="P3" s="99"/>
      <c r="Q3" s="100"/>
      <c r="R3" s="99"/>
      <c r="S3" s="99"/>
      <c r="T3" s="99"/>
      <c r="U3" s="99"/>
      <c r="V3" s="100"/>
      <c r="W3" s="99"/>
      <c r="X3" s="99"/>
      <c r="Y3" s="99"/>
      <c r="Z3" s="99"/>
      <c r="AA3" s="100"/>
      <c r="AB3" s="99"/>
      <c r="AC3" s="99"/>
      <c r="AD3" s="99"/>
      <c r="AE3" s="99"/>
      <c r="AF3" s="100"/>
      <c r="AG3" s="99"/>
      <c r="AH3" s="99"/>
      <c r="AI3" s="99"/>
      <c r="AJ3" s="99"/>
      <c r="AK3" s="100"/>
      <c r="AL3" s="99"/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14.1 Tender Inflation</v>
      </c>
      <c r="C4" s="100"/>
      <c r="D4" s="98"/>
      <c r="E4" s="103"/>
      <c r="F4" s="103"/>
      <c r="G4" s="103"/>
      <c r="H4" s="100"/>
      <c r="I4" s="98"/>
      <c r="J4" s="103"/>
      <c r="K4" s="103"/>
      <c r="L4" s="103"/>
      <c r="M4" s="100"/>
      <c r="N4" s="98"/>
      <c r="O4" s="103"/>
      <c r="P4" s="103"/>
      <c r="Q4" s="103"/>
      <c r="R4" s="100"/>
      <c r="S4" s="98"/>
      <c r="T4" s="103"/>
      <c r="U4" s="103"/>
      <c r="V4" s="103"/>
      <c r="W4" s="100"/>
      <c r="X4" s="98"/>
      <c r="Y4" s="103"/>
      <c r="Z4" s="103"/>
      <c r="AA4" s="103"/>
      <c r="AB4" s="100"/>
      <c r="AC4" s="98"/>
      <c r="AD4" s="103"/>
      <c r="AE4" s="103"/>
      <c r="AF4" s="103"/>
      <c r="AG4" s="100"/>
      <c r="AH4" s="98"/>
      <c r="AI4" s="103"/>
      <c r="AJ4" s="103"/>
      <c r="AK4" s="103"/>
      <c r="AL4" s="100"/>
      <c r="AM4" s="98"/>
      <c r="AN4" s="103"/>
      <c r="AO4" s="103"/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/>
      <c r="G5" s="103"/>
      <c r="H5" s="106"/>
      <c r="I5" s="37"/>
      <c r="J5" s="107"/>
      <c r="K5" s="108"/>
      <c r="L5" s="103"/>
      <c r="M5" s="106"/>
      <c r="N5" s="37"/>
      <c r="O5" s="107"/>
      <c r="P5" s="108"/>
      <c r="Q5" s="103"/>
      <c r="R5" s="106"/>
      <c r="S5" s="37"/>
      <c r="T5" s="107"/>
      <c r="U5" s="108"/>
      <c r="V5" s="103"/>
      <c r="W5" s="106"/>
      <c r="X5" s="37"/>
      <c r="Y5" s="107"/>
      <c r="Z5" s="108"/>
      <c r="AA5" s="103"/>
      <c r="AB5" s="106"/>
      <c r="AC5" s="37"/>
      <c r="AD5" s="107"/>
      <c r="AE5" s="108"/>
      <c r="AF5" s="103"/>
      <c r="AG5" s="106"/>
      <c r="AH5" s="37"/>
      <c r="AI5" s="107"/>
      <c r="AJ5" s="108"/>
      <c r="AK5" s="103"/>
      <c r="AL5" s="106"/>
      <c r="AM5" s="37"/>
      <c r="AN5" s="107"/>
      <c r="AO5" s="108"/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14.1 Tender Inflation</v>
      </c>
      <c r="C6" s="111"/>
      <c r="D6" s="36"/>
      <c r="E6" s="108"/>
      <c r="F6" s="108"/>
      <c r="G6" s="103"/>
      <c r="H6" s="111"/>
      <c r="I6" s="36"/>
      <c r="J6" s="108"/>
      <c r="K6" s="108"/>
      <c r="L6" s="103"/>
      <c r="M6" s="111"/>
      <c r="N6" s="36"/>
      <c r="O6" s="108"/>
      <c r="P6" s="108"/>
      <c r="Q6" s="103"/>
      <c r="R6" s="111"/>
      <c r="S6" s="36"/>
      <c r="T6" s="108"/>
      <c r="U6" s="108"/>
      <c r="V6" s="103"/>
      <c r="W6" s="111"/>
      <c r="X6" s="36"/>
      <c r="Y6" s="108"/>
      <c r="Z6" s="108"/>
      <c r="AA6" s="103"/>
      <c r="AB6" s="111"/>
      <c r="AC6" s="36"/>
      <c r="AD6" s="108"/>
      <c r="AE6" s="108"/>
      <c r="AF6" s="103"/>
      <c r="AG6" s="111"/>
      <c r="AH6" s="36"/>
      <c r="AI6" s="108"/>
      <c r="AJ6" s="108"/>
      <c r="AK6" s="103"/>
      <c r="AL6" s="111"/>
      <c r="AM6" s="36"/>
      <c r="AN6" s="108"/>
      <c r="AO6" s="108"/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09"/>
      <c r="B8" s="70" t="s">
        <v>1123</v>
      </c>
      <c r="C8" s="113" t="n">
        <v>410</v>
      </c>
      <c r="D8" s="36"/>
      <c r="E8" s="108"/>
      <c r="F8" s="108"/>
      <c r="G8" s="103"/>
      <c r="H8" s="113"/>
      <c r="I8" s="36"/>
      <c r="J8" s="108"/>
      <c r="K8" s="108"/>
      <c r="L8" s="103"/>
      <c r="M8" s="113"/>
      <c r="N8" s="36"/>
      <c r="O8" s="108"/>
      <c r="P8" s="108"/>
      <c r="Q8" s="103"/>
      <c r="R8" s="113"/>
      <c r="S8" s="36"/>
      <c r="T8" s="108"/>
      <c r="U8" s="108"/>
      <c r="V8" s="103"/>
      <c r="W8" s="113"/>
      <c r="X8" s="36"/>
      <c r="Y8" s="108"/>
      <c r="Z8" s="108"/>
      <c r="AA8" s="103"/>
      <c r="AB8" s="113"/>
      <c r="AC8" s="36"/>
      <c r="AD8" s="108"/>
      <c r="AE8" s="108"/>
      <c r="AF8" s="103"/>
      <c r="AG8" s="113"/>
      <c r="AH8" s="36"/>
      <c r="AI8" s="108"/>
      <c r="AJ8" s="108"/>
      <c r="AK8" s="103"/>
      <c r="AL8" s="113"/>
      <c r="AM8" s="36"/>
      <c r="AN8" s="108"/>
      <c r="AO8" s="108"/>
      <c r="AP8" s="103"/>
    </row>
    <row r="9" customFormat="false" ht="11.25" hidden="false" customHeight="true" outlineLevel="0" collapsed="false">
      <c r="A9" s="109"/>
      <c r="B9" s="70" t="s">
        <v>1124</v>
      </c>
      <c r="C9" s="113" t="n">
        <v>420</v>
      </c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09"/>
      <c r="B10" s="70" t="s">
        <v>1125</v>
      </c>
      <c r="C10" s="113" t="n">
        <f aca="false">C9-C8</f>
        <v>10</v>
      </c>
      <c r="D10" s="36"/>
      <c r="E10" s="108"/>
      <c r="F10" s="108"/>
      <c r="G10" s="103"/>
      <c r="H10" s="113"/>
      <c r="I10" s="36"/>
      <c r="J10" s="108"/>
      <c r="K10" s="108"/>
      <c r="L10" s="103"/>
      <c r="M10" s="113"/>
      <c r="N10" s="36"/>
      <c r="O10" s="108"/>
      <c r="P10" s="108"/>
      <c r="Q10" s="103"/>
      <c r="R10" s="113"/>
      <c r="S10" s="36"/>
      <c r="T10" s="108"/>
      <c r="U10" s="108"/>
      <c r="V10" s="103"/>
      <c r="W10" s="113"/>
      <c r="X10" s="36"/>
      <c r="Y10" s="108"/>
      <c r="Z10" s="108"/>
      <c r="AA10" s="103"/>
      <c r="AB10" s="113"/>
      <c r="AC10" s="36"/>
      <c r="AD10" s="108"/>
      <c r="AE10" s="108"/>
      <c r="AF10" s="103"/>
      <c r="AG10" s="113"/>
      <c r="AH10" s="36"/>
      <c r="AI10" s="108"/>
      <c r="AJ10" s="108"/>
      <c r="AK10" s="103"/>
      <c r="AL10" s="113"/>
      <c r="AM10" s="36"/>
      <c r="AN10" s="108"/>
      <c r="AO10" s="108"/>
      <c r="AP10" s="103"/>
    </row>
    <row r="11" customFormat="false" ht="11.25" hidden="false" customHeight="true" outlineLevel="0" collapsed="false">
      <c r="A11" s="109"/>
      <c r="B11" s="70" t="s">
        <v>1126</v>
      </c>
      <c r="C11" s="182" t="n">
        <f aca="false">C10/C8*100</f>
        <v>2.4390243902439</v>
      </c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09"/>
      <c r="B12" s="70"/>
      <c r="C12" s="113"/>
      <c r="D12" s="36"/>
      <c r="E12" s="108"/>
      <c r="F12" s="108"/>
      <c r="G12" s="103"/>
      <c r="H12" s="113"/>
      <c r="I12" s="36"/>
      <c r="J12" s="108"/>
      <c r="K12" s="108"/>
      <c r="L12" s="103"/>
      <c r="M12" s="113"/>
      <c r="N12" s="36"/>
      <c r="O12" s="108"/>
      <c r="P12" s="108"/>
      <c r="Q12" s="103"/>
      <c r="R12" s="113"/>
      <c r="S12" s="36"/>
      <c r="T12" s="108"/>
      <c r="U12" s="108"/>
      <c r="V12" s="103"/>
      <c r="W12" s="113"/>
      <c r="X12" s="36"/>
      <c r="Y12" s="108"/>
      <c r="Z12" s="108"/>
      <c r="AA12" s="103"/>
      <c r="AB12" s="113"/>
      <c r="AC12" s="36"/>
      <c r="AD12" s="108"/>
      <c r="AE12" s="108"/>
      <c r="AF12" s="103"/>
      <c r="AG12" s="113"/>
      <c r="AH12" s="36"/>
      <c r="AI12" s="108"/>
      <c r="AJ12" s="108"/>
      <c r="AK12" s="103"/>
      <c r="AL12" s="113"/>
      <c r="AM12" s="36"/>
      <c r="AN12" s="108"/>
      <c r="AO12" s="108"/>
      <c r="AP12" s="103"/>
    </row>
    <row r="13" customFormat="false" ht="11.25" hidden="false" customHeight="true" outlineLevel="0" collapsed="false">
      <c r="A13" s="109"/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09"/>
      <c r="B14" s="70"/>
      <c r="C14" s="113"/>
      <c r="D14" s="36"/>
      <c r="E14" s="108"/>
      <c r="F14" s="108"/>
      <c r="G14" s="103"/>
      <c r="H14" s="113"/>
      <c r="I14" s="36"/>
      <c r="J14" s="108"/>
      <c r="K14" s="108"/>
      <c r="L14" s="103"/>
      <c r="M14" s="113"/>
      <c r="N14" s="36"/>
      <c r="O14" s="108"/>
      <c r="P14" s="108"/>
      <c r="Q14" s="103"/>
      <c r="R14" s="113"/>
      <c r="S14" s="36"/>
      <c r="T14" s="108"/>
      <c r="U14" s="108"/>
      <c r="V14" s="103"/>
      <c r="W14" s="113"/>
      <c r="X14" s="36"/>
      <c r="Y14" s="108"/>
      <c r="Z14" s="108"/>
      <c r="AA14" s="103"/>
      <c r="AB14" s="113"/>
      <c r="AC14" s="36"/>
      <c r="AD14" s="108"/>
      <c r="AE14" s="108"/>
      <c r="AF14" s="103"/>
      <c r="AG14" s="113"/>
      <c r="AH14" s="36"/>
      <c r="AI14" s="108"/>
      <c r="AJ14" s="108"/>
      <c r="AK14" s="103"/>
      <c r="AL14" s="113"/>
      <c r="AM14" s="36"/>
      <c r="AN14" s="108"/>
      <c r="AO14" s="108"/>
      <c r="AP14" s="103"/>
    </row>
    <row r="15" customFormat="false" ht="11.25" hidden="false" customHeight="true" outlineLevel="0" collapsed="false">
      <c r="A15" s="109"/>
      <c r="B15" s="70"/>
      <c r="C15" s="111"/>
      <c r="D15" s="36"/>
      <c r="E15" s="108"/>
      <c r="F15" s="108"/>
      <c r="G15" s="103"/>
      <c r="H15" s="111"/>
      <c r="I15" s="36"/>
      <c r="J15" s="108"/>
      <c r="K15" s="108"/>
      <c r="L15" s="103"/>
      <c r="M15" s="111"/>
      <c r="N15" s="36"/>
      <c r="O15" s="108"/>
      <c r="P15" s="108"/>
      <c r="Q15" s="103"/>
      <c r="R15" s="111"/>
      <c r="S15" s="36"/>
      <c r="T15" s="108"/>
      <c r="U15" s="108"/>
      <c r="V15" s="103"/>
      <c r="W15" s="111"/>
      <c r="X15" s="36"/>
      <c r="Y15" s="108"/>
      <c r="Z15" s="108"/>
      <c r="AA15" s="103"/>
      <c r="AB15" s="111"/>
      <c r="AC15" s="36"/>
      <c r="AD15" s="108"/>
      <c r="AE15" s="108"/>
      <c r="AF15" s="103"/>
      <c r="AG15" s="111"/>
      <c r="AH15" s="36"/>
      <c r="AI15" s="108"/>
      <c r="AJ15" s="108"/>
      <c r="AK15" s="103"/>
      <c r="AL15" s="111"/>
      <c r="AM15" s="36"/>
      <c r="AN15" s="108"/>
      <c r="AO15" s="108"/>
      <c r="AP15" s="103"/>
    </row>
    <row r="16" customFormat="false" ht="11.25" hidden="false" customHeight="true" outlineLevel="0" collapsed="false">
      <c r="A16" s="109"/>
      <c r="B16" s="70"/>
      <c r="C16" s="113"/>
      <c r="D16" s="36"/>
      <c r="E16" s="108"/>
      <c r="F16" s="108"/>
      <c r="G16" s="103"/>
      <c r="H16" s="113"/>
      <c r="I16" s="36"/>
      <c r="J16" s="108"/>
      <c r="K16" s="108"/>
      <c r="L16" s="103"/>
      <c r="M16" s="113"/>
      <c r="N16" s="36"/>
      <c r="O16" s="108"/>
      <c r="P16" s="108"/>
      <c r="Q16" s="103"/>
      <c r="R16" s="113"/>
      <c r="S16" s="36"/>
      <c r="T16" s="108"/>
      <c r="U16" s="108"/>
      <c r="V16" s="103"/>
      <c r="W16" s="113"/>
      <c r="X16" s="36"/>
      <c r="Y16" s="108"/>
      <c r="Z16" s="108"/>
      <c r="AA16" s="103"/>
      <c r="AB16" s="113"/>
      <c r="AC16" s="36"/>
      <c r="AD16" s="108"/>
      <c r="AE16" s="108"/>
      <c r="AF16" s="103"/>
      <c r="AG16" s="113"/>
      <c r="AH16" s="36"/>
      <c r="AI16" s="108"/>
      <c r="AJ16" s="108"/>
      <c r="AK16" s="103"/>
      <c r="AL16" s="113"/>
      <c r="AM16" s="36"/>
      <c r="AN16" s="108"/>
      <c r="AO16" s="108"/>
      <c r="AP16" s="103"/>
    </row>
    <row r="17" customFormat="false" ht="11.25" hidden="false" customHeight="true" outlineLevel="0" collapsed="false">
      <c r="A17" s="109"/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09"/>
      <c r="B18" s="70"/>
      <c r="C18" s="113"/>
      <c r="D18" s="36"/>
      <c r="E18" s="108"/>
      <c r="F18" s="108"/>
      <c r="G18" s="103"/>
      <c r="H18" s="113"/>
      <c r="I18" s="36"/>
      <c r="J18" s="108"/>
      <c r="K18" s="108"/>
      <c r="L18" s="103"/>
      <c r="M18" s="113"/>
      <c r="N18" s="36"/>
      <c r="O18" s="108"/>
      <c r="P18" s="108"/>
      <c r="Q18" s="103"/>
      <c r="R18" s="113"/>
      <c r="S18" s="36"/>
      <c r="T18" s="108"/>
      <c r="U18" s="108"/>
      <c r="V18" s="103"/>
      <c r="W18" s="113"/>
      <c r="X18" s="36"/>
      <c r="Y18" s="108"/>
      <c r="Z18" s="108"/>
      <c r="AA18" s="103"/>
      <c r="AB18" s="113"/>
      <c r="AC18" s="36"/>
      <c r="AD18" s="108"/>
      <c r="AE18" s="108"/>
      <c r="AF18" s="103"/>
      <c r="AG18" s="113"/>
      <c r="AH18" s="36"/>
      <c r="AI18" s="108"/>
      <c r="AJ18" s="108"/>
      <c r="AK18" s="103"/>
      <c r="AL18" s="113"/>
      <c r="AM18" s="36"/>
      <c r="AN18" s="108"/>
      <c r="AO18" s="108"/>
      <c r="AP18" s="103"/>
    </row>
    <row r="19" customFormat="false" ht="11.25" hidden="false" customHeight="true" outlineLevel="0" collapsed="false">
      <c r="A19" s="109"/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09"/>
      <c r="B20" s="70"/>
      <c r="C20" s="113"/>
      <c r="D20" s="36"/>
      <c r="E20" s="108"/>
      <c r="F20" s="108"/>
      <c r="G20" s="103"/>
      <c r="H20" s="113"/>
      <c r="I20" s="36"/>
      <c r="J20" s="108"/>
      <c r="K20" s="108"/>
      <c r="L20" s="103"/>
      <c r="M20" s="113"/>
      <c r="N20" s="36"/>
      <c r="O20" s="108"/>
      <c r="P20" s="108"/>
      <c r="Q20" s="103"/>
      <c r="R20" s="113"/>
      <c r="S20" s="36"/>
      <c r="T20" s="108"/>
      <c r="U20" s="108"/>
      <c r="V20" s="103"/>
      <c r="W20" s="113"/>
      <c r="X20" s="36"/>
      <c r="Y20" s="108"/>
      <c r="Z20" s="108"/>
      <c r="AA20" s="103"/>
      <c r="AB20" s="113"/>
      <c r="AC20" s="36"/>
      <c r="AD20" s="108"/>
      <c r="AE20" s="108"/>
      <c r="AF20" s="103"/>
      <c r="AG20" s="113"/>
      <c r="AH20" s="36"/>
      <c r="AI20" s="108"/>
      <c r="AJ20" s="108"/>
      <c r="AK20" s="103"/>
      <c r="AL20" s="113"/>
      <c r="AM20" s="36"/>
      <c r="AN20" s="108"/>
      <c r="AO20" s="108"/>
      <c r="AP20" s="103"/>
    </row>
    <row r="21" customFormat="false" ht="11.25" hidden="false" customHeight="true" outlineLevel="0" collapsed="false">
      <c r="A21" s="109"/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09"/>
      <c r="B22" s="70"/>
      <c r="C22" s="113"/>
      <c r="D22" s="36"/>
      <c r="E22" s="108"/>
      <c r="F22" s="108"/>
      <c r="G22" s="103"/>
      <c r="H22" s="113"/>
      <c r="I22" s="36"/>
      <c r="J22" s="108"/>
      <c r="K22" s="108"/>
      <c r="L22" s="103"/>
      <c r="M22" s="113"/>
      <c r="N22" s="36"/>
      <c r="O22" s="108"/>
      <c r="P22" s="108"/>
      <c r="Q22" s="103"/>
      <c r="R22" s="113"/>
      <c r="S22" s="36"/>
      <c r="T22" s="108"/>
      <c r="U22" s="108"/>
      <c r="V22" s="103"/>
      <c r="W22" s="113"/>
      <c r="X22" s="36"/>
      <c r="Y22" s="108"/>
      <c r="Z22" s="108"/>
      <c r="AA22" s="103"/>
      <c r="AB22" s="113"/>
      <c r="AC22" s="36"/>
      <c r="AD22" s="108"/>
      <c r="AE22" s="108"/>
      <c r="AF22" s="103"/>
      <c r="AG22" s="113"/>
      <c r="AH22" s="36"/>
      <c r="AI22" s="108"/>
      <c r="AJ22" s="108"/>
      <c r="AK22" s="103"/>
      <c r="AL22" s="113"/>
      <c r="AM22" s="36"/>
      <c r="AN22" s="108"/>
      <c r="AO22" s="108"/>
      <c r="AP22" s="103"/>
    </row>
    <row r="23" customFormat="false" ht="11.25" hidden="false" customHeight="true" outlineLevel="0" collapsed="false">
      <c r="A23" s="109"/>
      <c r="B23" s="70"/>
      <c r="C23" s="111"/>
      <c r="D23" s="36"/>
      <c r="E23" s="108"/>
      <c r="F23" s="108"/>
      <c r="G23" s="103"/>
      <c r="H23" s="111"/>
      <c r="I23" s="36"/>
      <c r="J23" s="108"/>
      <c r="K23" s="108"/>
      <c r="L23" s="103"/>
      <c r="M23" s="111"/>
      <c r="N23" s="36"/>
      <c r="O23" s="108"/>
      <c r="P23" s="108"/>
      <c r="Q23" s="103"/>
      <c r="R23" s="111"/>
      <c r="S23" s="36"/>
      <c r="T23" s="108"/>
      <c r="U23" s="108"/>
      <c r="V23" s="103"/>
      <c r="W23" s="111"/>
      <c r="X23" s="36"/>
      <c r="Y23" s="108"/>
      <c r="Z23" s="108"/>
      <c r="AA23" s="103"/>
      <c r="AB23" s="111"/>
      <c r="AC23" s="36"/>
      <c r="AD23" s="108"/>
      <c r="AE23" s="108"/>
      <c r="AF23" s="103"/>
      <c r="AG23" s="111"/>
      <c r="AH23" s="36"/>
      <c r="AI23" s="108"/>
      <c r="AJ23" s="108"/>
      <c r="AK23" s="103"/>
      <c r="AL23" s="111"/>
      <c r="AM23" s="36"/>
      <c r="AN23" s="108"/>
      <c r="AO23" s="108"/>
      <c r="AP23" s="103"/>
    </row>
    <row r="24" customFormat="false" ht="11.25" hidden="false" customHeight="true" outlineLevel="0" collapsed="false">
      <c r="A24" s="109"/>
      <c r="B24" s="70"/>
      <c r="C24" s="113"/>
      <c r="D24" s="36"/>
      <c r="E24" s="108"/>
      <c r="F24" s="108"/>
      <c r="G24" s="103"/>
      <c r="H24" s="113"/>
      <c r="I24" s="36"/>
      <c r="J24" s="108"/>
      <c r="K24" s="108"/>
      <c r="L24" s="103"/>
      <c r="M24" s="113"/>
      <c r="N24" s="36"/>
      <c r="O24" s="108"/>
      <c r="P24" s="108"/>
      <c r="Q24" s="103"/>
      <c r="R24" s="113"/>
      <c r="S24" s="36"/>
      <c r="T24" s="108"/>
      <c r="U24" s="108"/>
      <c r="V24" s="103"/>
      <c r="W24" s="113"/>
      <c r="X24" s="36"/>
      <c r="Y24" s="108"/>
      <c r="Z24" s="108"/>
      <c r="AA24" s="103"/>
      <c r="AB24" s="113"/>
      <c r="AC24" s="36"/>
      <c r="AD24" s="108"/>
      <c r="AE24" s="108"/>
      <c r="AF24" s="103"/>
      <c r="AG24" s="113"/>
      <c r="AH24" s="36"/>
      <c r="AI24" s="108"/>
      <c r="AJ24" s="108"/>
      <c r="AK24" s="103"/>
      <c r="AL24" s="113"/>
      <c r="AM24" s="36"/>
      <c r="AN24" s="108"/>
      <c r="AO24" s="108"/>
      <c r="AP24" s="103"/>
    </row>
    <row r="25" customFormat="false" ht="11.25" hidden="false" customHeight="true" outlineLevel="0" collapsed="false">
      <c r="A25" s="109"/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09"/>
      <c r="B26" s="70"/>
      <c r="C26" s="113"/>
      <c r="D26" s="36"/>
      <c r="E26" s="108"/>
      <c r="F26" s="108"/>
      <c r="G26" s="103"/>
      <c r="H26" s="113"/>
      <c r="I26" s="36"/>
      <c r="J26" s="108"/>
      <c r="K26" s="108"/>
      <c r="L26" s="103"/>
      <c r="M26" s="113"/>
      <c r="N26" s="36"/>
      <c r="O26" s="108"/>
      <c r="P26" s="108"/>
      <c r="Q26" s="103"/>
      <c r="R26" s="113"/>
      <c r="S26" s="36"/>
      <c r="T26" s="108"/>
      <c r="U26" s="108"/>
      <c r="V26" s="103"/>
      <c r="W26" s="113"/>
      <c r="X26" s="36"/>
      <c r="Y26" s="108"/>
      <c r="Z26" s="108"/>
      <c r="AA26" s="103"/>
      <c r="AB26" s="113"/>
      <c r="AC26" s="36"/>
      <c r="AD26" s="108"/>
      <c r="AE26" s="108"/>
      <c r="AF26" s="103"/>
      <c r="AG26" s="113"/>
      <c r="AH26" s="36"/>
      <c r="AI26" s="108"/>
      <c r="AJ26" s="108"/>
      <c r="AK26" s="103"/>
      <c r="AL26" s="113"/>
      <c r="AM26" s="36"/>
      <c r="AN26" s="108"/>
      <c r="AO26" s="108"/>
      <c r="AP26" s="103"/>
    </row>
    <row r="27" customFormat="false" ht="11.25" hidden="false" customHeight="true" outlineLevel="0" collapsed="false">
      <c r="A27" s="109"/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09"/>
      <c r="B28" s="70"/>
      <c r="C28" s="113"/>
      <c r="D28" s="36"/>
      <c r="E28" s="108"/>
      <c r="F28" s="108"/>
      <c r="G28" s="103"/>
      <c r="H28" s="113"/>
      <c r="I28" s="36"/>
      <c r="J28" s="108"/>
      <c r="K28" s="108"/>
      <c r="L28" s="103"/>
      <c r="M28" s="113"/>
      <c r="N28" s="36"/>
      <c r="O28" s="108"/>
      <c r="P28" s="108"/>
      <c r="Q28" s="103"/>
      <c r="R28" s="113"/>
      <c r="S28" s="36"/>
      <c r="T28" s="108"/>
      <c r="U28" s="108"/>
      <c r="V28" s="103"/>
      <c r="W28" s="113"/>
      <c r="X28" s="36"/>
      <c r="Y28" s="108"/>
      <c r="Z28" s="108"/>
      <c r="AA28" s="103"/>
      <c r="AB28" s="113"/>
      <c r="AC28" s="36"/>
      <c r="AD28" s="108"/>
      <c r="AE28" s="108"/>
      <c r="AF28" s="103"/>
      <c r="AG28" s="113"/>
      <c r="AH28" s="36"/>
      <c r="AI28" s="108"/>
      <c r="AJ28" s="108"/>
      <c r="AK28" s="103"/>
      <c r="AL28" s="113"/>
      <c r="AM28" s="36"/>
      <c r="AN28" s="108"/>
      <c r="AO28" s="108"/>
      <c r="AP28" s="103"/>
    </row>
    <row r="29" customFormat="false" ht="11.25" hidden="false" customHeight="true" outlineLevel="0" collapsed="false">
      <c r="A29" s="109"/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09"/>
      <c r="B30" s="70"/>
      <c r="C30" s="113"/>
      <c r="D30" s="36"/>
      <c r="E30" s="108"/>
      <c r="F30" s="108"/>
      <c r="G30" s="103"/>
      <c r="H30" s="113"/>
      <c r="I30" s="36"/>
      <c r="J30" s="108"/>
      <c r="K30" s="108"/>
      <c r="L30" s="103"/>
      <c r="M30" s="113"/>
      <c r="N30" s="36"/>
      <c r="O30" s="108"/>
      <c r="P30" s="108"/>
      <c r="Q30" s="103"/>
      <c r="R30" s="113"/>
      <c r="S30" s="36"/>
      <c r="T30" s="108"/>
      <c r="U30" s="108"/>
      <c r="V30" s="103"/>
      <c r="W30" s="113"/>
      <c r="X30" s="36"/>
      <c r="Y30" s="108"/>
      <c r="Z30" s="108"/>
      <c r="AA30" s="103"/>
      <c r="AB30" s="113"/>
      <c r="AC30" s="36"/>
      <c r="AD30" s="108"/>
      <c r="AE30" s="108"/>
      <c r="AF30" s="103"/>
      <c r="AG30" s="113"/>
      <c r="AH30" s="36"/>
      <c r="AI30" s="108"/>
      <c r="AJ30" s="108"/>
      <c r="AK30" s="103"/>
      <c r="AL30" s="113"/>
      <c r="AM30" s="36"/>
      <c r="AN30" s="108"/>
      <c r="AO30" s="108"/>
      <c r="AP30" s="103"/>
    </row>
    <row r="31" customFormat="false" ht="11.25" hidden="false" customHeight="true" outlineLevel="0" collapsed="false">
      <c r="A31" s="109"/>
      <c r="B31" s="70"/>
      <c r="C31" s="111"/>
      <c r="D31" s="36"/>
      <c r="E31" s="108"/>
      <c r="F31" s="108"/>
      <c r="G31" s="103"/>
      <c r="H31" s="111"/>
      <c r="I31" s="36"/>
      <c r="J31" s="108"/>
      <c r="K31" s="108"/>
      <c r="L31" s="103"/>
      <c r="M31" s="111"/>
      <c r="N31" s="36"/>
      <c r="O31" s="108"/>
      <c r="P31" s="108"/>
      <c r="Q31" s="103"/>
      <c r="R31" s="111"/>
      <c r="S31" s="36"/>
      <c r="T31" s="108"/>
      <c r="U31" s="108"/>
      <c r="V31" s="103"/>
      <c r="W31" s="111"/>
      <c r="X31" s="36"/>
      <c r="Y31" s="108"/>
      <c r="Z31" s="108"/>
      <c r="AA31" s="103"/>
      <c r="AB31" s="111"/>
      <c r="AC31" s="36"/>
      <c r="AD31" s="108"/>
      <c r="AE31" s="108"/>
      <c r="AF31" s="103"/>
      <c r="AG31" s="111"/>
      <c r="AH31" s="36"/>
      <c r="AI31" s="108"/>
      <c r="AJ31" s="108"/>
      <c r="AK31" s="103"/>
      <c r="AL31" s="111"/>
      <c r="AM31" s="36"/>
      <c r="AN31" s="108"/>
      <c r="AO31" s="108"/>
      <c r="AP31" s="103"/>
    </row>
    <row r="32" customFormat="false" ht="11.25" hidden="false" customHeight="true" outlineLevel="0" collapsed="false">
      <c r="A32" s="109"/>
      <c r="B32" s="70"/>
      <c r="C32" s="113"/>
      <c r="D32" s="36"/>
      <c r="E32" s="108"/>
      <c r="F32" s="108"/>
      <c r="G32" s="103"/>
      <c r="H32" s="113"/>
      <c r="I32" s="36"/>
      <c r="J32" s="108"/>
      <c r="K32" s="108"/>
      <c r="L32" s="103"/>
      <c r="M32" s="113"/>
      <c r="N32" s="36"/>
      <c r="O32" s="108"/>
      <c r="P32" s="108"/>
      <c r="Q32" s="103"/>
      <c r="R32" s="113"/>
      <c r="S32" s="36"/>
      <c r="T32" s="108"/>
      <c r="U32" s="108"/>
      <c r="V32" s="103"/>
      <c r="W32" s="113"/>
      <c r="X32" s="36"/>
      <c r="Y32" s="108"/>
      <c r="Z32" s="108"/>
      <c r="AA32" s="103"/>
      <c r="AB32" s="113"/>
      <c r="AC32" s="36"/>
      <c r="AD32" s="108"/>
      <c r="AE32" s="108"/>
      <c r="AF32" s="103"/>
      <c r="AG32" s="113"/>
      <c r="AH32" s="36"/>
      <c r="AI32" s="108"/>
      <c r="AJ32" s="108"/>
      <c r="AK32" s="103"/>
      <c r="AL32" s="113"/>
      <c r="AM32" s="36"/>
      <c r="AN32" s="108"/>
      <c r="AO32" s="108"/>
      <c r="AP32" s="103"/>
    </row>
    <row r="33" customFormat="false" ht="11.25" hidden="false" customHeight="true" outlineLevel="0" collapsed="false">
      <c r="A33" s="109"/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09"/>
      <c r="B34" s="70"/>
      <c r="C34" s="113"/>
      <c r="D34" s="36"/>
      <c r="E34" s="108"/>
      <c r="F34" s="108"/>
      <c r="G34" s="103"/>
      <c r="H34" s="113"/>
      <c r="I34" s="36"/>
      <c r="J34" s="108"/>
      <c r="K34" s="108"/>
      <c r="L34" s="103"/>
      <c r="M34" s="113"/>
      <c r="N34" s="36"/>
      <c r="O34" s="108"/>
      <c r="P34" s="108"/>
      <c r="Q34" s="103"/>
      <c r="R34" s="113"/>
      <c r="S34" s="36"/>
      <c r="T34" s="108"/>
      <c r="U34" s="108"/>
      <c r="V34" s="103"/>
      <c r="W34" s="113"/>
      <c r="X34" s="36"/>
      <c r="Y34" s="108"/>
      <c r="Z34" s="108"/>
      <c r="AA34" s="103"/>
      <c r="AB34" s="113"/>
      <c r="AC34" s="36"/>
      <c r="AD34" s="108"/>
      <c r="AE34" s="108"/>
      <c r="AF34" s="103"/>
      <c r="AG34" s="113"/>
      <c r="AH34" s="36"/>
      <c r="AI34" s="108"/>
      <c r="AJ34" s="108"/>
      <c r="AK34" s="103"/>
      <c r="AL34" s="113"/>
      <c r="AM34" s="36"/>
      <c r="AN34" s="108"/>
      <c r="AO34" s="108"/>
      <c r="AP34" s="103"/>
    </row>
    <row r="35" customFormat="false" ht="11.25" hidden="false" customHeight="true" outlineLevel="0" collapsed="false">
      <c r="A35" s="109"/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09"/>
      <c r="B36" s="70"/>
      <c r="C36" s="113"/>
      <c r="D36" s="36"/>
      <c r="E36" s="108"/>
      <c r="F36" s="108"/>
      <c r="G36" s="103"/>
      <c r="H36" s="113"/>
      <c r="I36" s="36"/>
      <c r="J36" s="108"/>
      <c r="K36" s="108"/>
      <c r="L36" s="103"/>
      <c r="M36" s="113"/>
      <c r="N36" s="36"/>
      <c r="O36" s="108"/>
      <c r="P36" s="108"/>
      <c r="Q36" s="103"/>
      <c r="R36" s="113"/>
      <c r="S36" s="36"/>
      <c r="T36" s="108"/>
      <c r="U36" s="108"/>
      <c r="V36" s="103"/>
      <c r="W36" s="113"/>
      <c r="X36" s="36"/>
      <c r="Y36" s="108"/>
      <c r="Z36" s="108"/>
      <c r="AA36" s="103"/>
      <c r="AB36" s="113"/>
      <c r="AC36" s="36"/>
      <c r="AD36" s="108"/>
      <c r="AE36" s="108"/>
      <c r="AF36" s="103"/>
      <c r="AG36" s="113"/>
      <c r="AH36" s="36"/>
      <c r="AI36" s="108"/>
      <c r="AJ36" s="108"/>
      <c r="AK36" s="103"/>
      <c r="AL36" s="113"/>
      <c r="AM36" s="36"/>
      <c r="AN36" s="108"/>
      <c r="AO36" s="108"/>
      <c r="AP36" s="103"/>
    </row>
    <row r="37" customFormat="false" ht="11.25" hidden="false" customHeight="true" outlineLevel="0" collapsed="false">
      <c r="A37" s="109"/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09"/>
      <c r="B38" s="70"/>
      <c r="C38" s="113"/>
      <c r="D38" s="36"/>
      <c r="E38" s="108"/>
      <c r="F38" s="108"/>
      <c r="G38" s="103"/>
      <c r="H38" s="113"/>
      <c r="I38" s="36"/>
      <c r="J38" s="108"/>
      <c r="K38" s="108"/>
      <c r="L38" s="103"/>
      <c r="M38" s="113"/>
      <c r="N38" s="36"/>
      <c r="O38" s="108"/>
      <c r="P38" s="108"/>
      <c r="Q38" s="103"/>
      <c r="R38" s="113"/>
      <c r="S38" s="36"/>
      <c r="T38" s="108"/>
      <c r="U38" s="108"/>
      <c r="V38" s="103"/>
      <c r="W38" s="113"/>
      <c r="X38" s="36"/>
      <c r="Y38" s="108"/>
      <c r="Z38" s="108"/>
      <c r="AA38" s="103"/>
      <c r="AB38" s="113"/>
      <c r="AC38" s="36"/>
      <c r="AD38" s="108"/>
      <c r="AE38" s="108"/>
      <c r="AF38" s="103"/>
      <c r="AG38" s="113"/>
      <c r="AH38" s="36"/>
      <c r="AI38" s="108"/>
      <c r="AJ38" s="108"/>
      <c r="AK38" s="103"/>
      <c r="AL38" s="113"/>
      <c r="AM38" s="36"/>
      <c r="AN38" s="108"/>
      <c r="AO38" s="108"/>
      <c r="AP38" s="103"/>
    </row>
    <row r="39" customFormat="false" ht="11.25" hidden="false" customHeight="true" outlineLevel="0" collapsed="false">
      <c r="A39" s="109"/>
      <c r="B39" s="70"/>
      <c r="C39" s="111"/>
      <c r="D39" s="36"/>
      <c r="E39" s="108"/>
      <c r="F39" s="108"/>
      <c r="G39" s="103"/>
      <c r="H39" s="111"/>
      <c r="I39" s="36"/>
      <c r="J39" s="108"/>
      <c r="K39" s="108"/>
      <c r="L39" s="103"/>
      <c r="M39" s="111"/>
      <c r="N39" s="36"/>
      <c r="O39" s="108"/>
      <c r="P39" s="108"/>
      <c r="Q39" s="103"/>
      <c r="R39" s="111"/>
      <c r="S39" s="36"/>
      <c r="T39" s="108"/>
      <c r="U39" s="108"/>
      <c r="V39" s="103"/>
      <c r="W39" s="111"/>
      <c r="X39" s="36"/>
      <c r="Y39" s="108"/>
      <c r="Z39" s="108"/>
      <c r="AA39" s="103"/>
      <c r="AB39" s="111"/>
      <c r="AC39" s="36"/>
      <c r="AD39" s="108"/>
      <c r="AE39" s="108"/>
      <c r="AF39" s="103"/>
      <c r="AG39" s="111"/>
      <c r="AH39" s="36"/>
      <c r="AI39" s="108"/>
      <c r="AJ39" s="108"/>
      <c r="AK39" s="103"/>
      <c r="AL39" s="111"/>
      <c r="AM39" s="36"/>
      <c r="AN39" s="108"/>
      <c r="AO39" s="108"/>
      <c r="AP39" s="103"/>
    </row>
    <row r="40" customFormat="false" ht="11.25" hidden="false" customHeight="true" outlineLevel="0" collapsed="false">
      <c r="A40" s="109"/>
      <c r="B40" s="70"/>
      <c r="C40" s="113"/>
      <c r="D40" s="36"/>
      <c r="E40" s="108"/>
      <c r="F40" s="108"/>
      <c r="G40" s="103"/>
      <c r="H40" s="113"/>
      <c r="I40" s="36"/>
      <c r="J40" s="108"/>
      <c r="K40" s="108"/>
      <c r="L40" s="103"/>
      <c r="M40" s="113"/>
      <c r="N40" s="36"/>
      <c r="O40" s="108"/>
      <c r="P40" s="108"/>
      <c r="Q40" s="103"/>
      <c r="R40" s="113"/>
      <c r="S40" s="36"/>
      <c r="T40" s="108"/>
      <c r="U40" s="108"/>
      <c r="V40" s="103"/>
      <c r="W40" s="113"/>
      <c r="X40" s="36"/>
      <c r="Y40" s="108"/>
      <c r="Z40" s="108"/>
      <c r="AA40" s="103"/>
      <c r="AB40" s="113"/>
      <c r="AC40" s="36"/>
      <c r="AD40" s="108"/>
      <c r="AE40" s="108"/>
      <c r="AF40" s="103"/>
      <c r="AG40" s="113"/>
      <c r="AH40" s="36"/>
      <c r="AI40" s="108"/>
      <c r="AJ40" s="108"/>
      <c r="AK40" s="103"/>
      <c r="AL40" s="113"/>
      <c r="AM40" s="36"/>
      <c r="AN40" s="108"/>
      <c r="AO40" s="108"/>
      <c r="AP40" s="103"/>
    </row>
    <row r="41" customFormat="false" ht="11.25" hidden="false" customHeight="true" outlineLevel="0" collapsed="false">
      <c r="A41" s="109"/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09"/>
      <c r="B42" s="70"/>
      <c r="C42" s="113"/>
      <c r="D42" s="36"/>
      <c r="E42" s="108"/>
      <c r="F42" s="108"/>
      <c r="G42" s="103"/>
      <c r="H42" s="113"/>
      <c r="I42" s="36"/>
      <c r="J42" s="108"/>
      <c r="K42" s="108"/>
      <c r="L42" s="103"/>
      <c r="M42" s="113"/>
      <c r="N42" s="36"/>
      <c r="O42" s="108"/>
      <c r="P42" s="108"/>
      <c r="Q42" s="103"/>
      <c r="R42" s="113"/>
      <c r="S42" s="36"/>
      <c r="T42" s="108"/>
      <c r="U42" s="108"/>
      <c r="V42" s="103"/>
      <c r="W42" s="113"/>
      <c r="X42" s="36"/>
      <c r="Y42" s="108"/>
      <c r="Z42" s="108"/>
      <c r="AA42" s="103"/>
      <c r="AB42" s="113"/>
      <c r="AC42" s="36"/>
      <c r="AD42" s="108"/>
      <c r="AE42" s="108"/>
      <c r="AF42" s="103"/>
      <c r="AG42" s="113"/>
      <c r="AH42" s="36"/>
      <c r="AI42" s="108"/>
      <c r="AJ42" s="108"/>
      <c r="AK42" s="103"/>
      <c r="AL42" s="113"/>
      <c r="AM42" s="36"/>
      <c r="AN42" s="108"/>
      <c r="AO42" s="108"/>
      <c r="AP42" s="103"/>
    </row>
    <row r="43" customFormat="false" ht="11.25" hidden="false" customHeight="true" outlineLevel="0" collapsed="false">
      <c r="A43" s="109"/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09"/>
      <c r="B44" s="70"/>
      <c r="C44" s="113"/>
      <c r="D44" s="36"/>
      <c r="E44" s="108"/>
      <c r="F44" s="108"/>
      <c r="G44" s="103"/>
      <c r="H44" s="113"/>
      <c r="I44" s="36"/>
      <c r="J44" s="108"/>
      <c r="K44" s="108"/>
      <c r="L44" s="103"/>
      <c r="M44" s="113"/>
      <c r="N44" s="36"/>
      <c r="O44" s="108"/>
      <c r="P44" s="108"/>
      <c r="Q44" s="103"/>
      <c r="R44" s="113"/>
      <c r="S44" s="36"/>
      <c r="T44" s="108"/>
      <c r="U44" s="108"/>
      <c r="V44" s="103"/>
      <c r="W44" s="113"/>
      <c r="X44" s="36"/>
      <c r="Y44" s="108"/>
      <c r="Z44" s="108"/>
      <c r="AA44" s="103"/>
      <c r="AB44" s="113"/>
      <c r="AC44" s="36"/>
      <c r="AD44" s="108"/>
      <c r="AE44" s="108"/>
      <c r="AF44" s="103"/>
      <c r="AG44" s="113"/>
      <c r="AH44" s="36"/>
      <c r="AI44" s="108"/>
      <c r="AJ44" s="108"/>
      <c r="AK44" s="103"/>
      <c r="AL44" s="113"/>
      <c r="AM44" s="36"/>
      <c r="AN44" s="108"/>
      <c r="AO44" s="108"/>
      <c r="AP44" s="103"/>
    </row>
    <row r="45" customFormat="false" ht="11.25" hidden="false" customHeight="true" outlineLevel="0" collapsed="false">
      <c r="A45" s="109"/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09"/>
      <c r="B46" s="70"/>
      <c r="C46" s="113"/>
      <c r="D46" s="36"/>
      <c r="E46" s="108"/>
      <c r="F46" s="108"/>
      <c r="G46" s="103"/>
      <c r="H46" s="113"/>
      <c r="I46" s="36"/>
      <c r="J46" s="108"/>
      <c r="K46" s="108"/>
      <c r="L46" s="103"/>
      <c r="M46" s="113"/>
      <c r="N46" s="36"/>
      <c r="O46" s="108"/>
      <c r="P46" s="108"/>
      <c r="Q46" s="103"/>
      <c r="R46" s="113"/>
      <c r="S46" s="36"/>
      <c r="T46" s="108"/>
      <c r="U46" s="108"/>
      <c r="V46" s="103"/>
      <c r="W46" s="113"/>
      <c r="X46" s="36"/>
      <c r="Y46" s="108"/>
      <c r="Z46" s="108"/>
      <c r="AA46" s="103"/>
      <c r="AB46" s="113"/>
      <c r="AC46" s="36"/>
      <c r="AD46" s="108"/>
      <c r="AE46" s="108"/>
      <c r="AF46" s="103"/>
      <c r="AG46" s="113"/>
      <c r="AH46" s="36"/>
      <c r="AI46" s="108"/>
      <c r="AJ46" s="108"/>
      <c r="AK46" s="103"/>
      <c r="AL46" s="113"/>
      <c r="AM46" s="36"/>
      <c r="AN46" s="108"/>
      <c r="AO46" s="108"/>
      <c r="AP46" s="103"/>
    </row>
    <row r="47" customFormat="false" ht="11.25" hidden="false" customHeight="true" outlineLevel="0" collapsed="false">
      <c r="A47" s="109"/>
      <c r="B47" s="70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09"/>
      <c r="B48" s="116"/>
      <c r="C48" s="106"/>
      <c r="D48" s="37"/>
      <c r="E48" s="107"/>
      <c r="F48" s="107"/>
      <c r="G48" s="103"/>
      <c r="H48" s="106"/>
      <c r="I48" s="37"/>
      <c r="J48" s="107"/>
      <c r="K48" s="107"/>
      <c r="L48" s="103"/>
      <c r="M48" s="106"/>
      <c r="N48" s="37"/>
      <c r="O48" s="107"/>
      <c r="P48" s="107"/>
      <c r="Q48" s="103"/>
      <c r="R48" s="106"/>
      <c r="S48" s="37"/>
      <c r="T48" s="107"/>
      <c r="U48" s="107"/>
      <c r="V48" s="103"/>
      <c r="W48" s="106"/>
      <c r="X48" s="37"/>
      <c r="Y48" s="107"/>
      <c r="Z48" s="107"/>
      <c r="AA48" s="103"/>
      <c r="AB48" s="106"/>
      <c r="AC48" s="37"/>
      <c r="AD48" s="107"/>
      <c r="AE48" s="107"/>
      <c r="AF48" s="103"/>
      <c r="AG48" s="106"/>
      <c r="AH48" s="37"/>
      <c r="AI48" s="107"/>
      <c r="AJ48" s="107"/>
      <c r="AK48" s="103"/>
      <c r="AL48" s="106"/>
      <c r="AM48" s="37"/>
      <c r="AN48" s="107"/>
      <c r="AO48" s="107"/>
      <c r="AP48" s="103"/>
    </row>
    <row r="49" customFormat="false" ht="11.25" hidden="false" customHeight="true" outlineLevel="0" collapsed="false">
      <c r="A49" s="109"/>
      <c r="B49" s="70"/>
      <c r="C49" s="106"/>
      <c r="D49" s="37"/>
      <c r="E49" s="107"/>
      <c r="F49" s="107"/>
      <c r="G49" s="103"/>
      <c r="H49" s="106"/>
      <c r="I49" s="37"/>
      <c r="J49" s="107"/>
      <c r="K49" s="107"/>
      <c r="L49" s="103"/>
      <c r="M49" s="106"/>
      <c r="N49" s="37"/>
      <c r="O49" s="107"/>
      <c r="P49" s="107"/>
      <c r="Q49" s="103"/>
      <c r="R49" s="106"/>
      <c r="S49" s="37"/>
      <c r="T49" s="107"/>
      <c r="U49" s="107"/>
      <c r="V49" s="103"/>
      <c r="W49" s="106"/>
      <c r="X49" s="37"/>
      <c r="Y49" s="107"/>
      <c r="Z49" s="107"/>
      <c r="AA49" s="103"/>
      <c r="AB49" s="106"/>
      <c r="AC49" s="37"/>
      <c r="AD49" s="107"/>
      <c r="AE49" s="107"/>
      <c r="AF49" s="103"/>
      <c r="AG49" s="106"/>
      <c r="AH49" s="37"/>
      <c r="AI49" s="107"/>
      <c r="AJ49" s="107"/>
      <c r="AK49" s="103"/>
      <c r="AL49" s="106"/>
      <c r="AM49" s="37"/>
      <c r="AN49" s="107"/>
      <c r="AO49" s="107"/>
      <c r="AP49" s="103"/>
    </row>
    <row r="50" customFormat="false" ht="11.25" hidden="false" customHeight="true" outlineLevel="0" collapsed="false">
      <c r="A50" s="109"/>
      <c r="B50" s="70"/>
      <c r="C50" s="106"/>
      <c r="D50" s="37"/>
      <c r="E50" s="107"/>
      <c r="F50" s="107"/>
      <c r="G50" s="103"/>
      <c r="H50" s="106"/>
      <c r="I50" s="37"/>
      <c r="J50" s="107"/>
      <c r="K50" s="107"/>
      <c r="L50" s="103"/>
      <c r="M50" s="106"/>
      <c r="N50" s="37"/>
      <c r="O50" s="107"/>
      <c r="P50" s="107"/>
      <c r="Q50" s="103"/>
      <c r="R50" s="106"/>
      <c r="S50" s="37"/>
      <c r="T50" s="107"/>
      <c r="U50" s="107"/>
      <c r="V50" s="103"/>
      <c r="W50" s="106"/>
      <c r="X50" s="37"/>
      <c r="Y50" s="107"/>
      <c r="Z50" s="107"/>
      <c r="AA50" s="103"/>
      <c r="AB50" s="106"/>
      <c r="AC50" s="37"/>
      <c r="AD50" s="107"/>
      <c r="AE50" s="107"/>
      <c r="AF50" s="103"/>
      <c r="AG50" s="106"/>
      <c r="AH50" s="37"/>
      <c r="AI50" s="107"/>
      <c r="AJ50" s="107"/>
      <c r="AK50" s="103"/>
      <c r="AL50" s="106"/>
      <c r="AM50" s="37"/>
      <c r="AN50" s="107"/>
      <c r="AO50" s="107"/>
      <c r="AP50" s="103"/>
    </row>
    <row r="51" customFormat="false" ht="11.25" hidden="false" customHeight="true" outlineLevel="0" collapsed="false">
      <c r="A51" s="109"/>
      <c r="B51" s="70"/>
      <c r="C51" s="106"/>
      <c r="D51" s="37"/>
      <c r="E51" s="107"/>
      <c r="F51" s="107"/>
      <c r="G51" s="103"/>
      <c r="H51" s="106"/>
      <c r="I51" s="37"/>
      <c r="J51" s="107"/>
      <c r="K51" s="107"/>
      <c r="L51" s="103"/>
      <c r="M51" s="106"/>
      <c r="N51" s="37"/>
      <c r="O51" s="107"/>
      <c r="P51" s="107"/>
      <c r="Q51" s="103"/>
      <c r="R51" s="106"/>
      <c r="S51" s="37"/>
      <c r="T51" s="107"/>
      <c r="U51" s="107"/>
      <c r="V51" s="103"/>
      <c r="W51" s="106"/>
      <c r="X51" s="37"/>
      <c r="Y51" s="107"/>
      <c r="Z51" s="107"/>
      <c r="AA51" s="103"/>
      <c r="AB51" s="106"/>
      <c r="AC51" s="37"/>
      <c r="AD51" s="107"/>
      <c r="AE51" s="107"/>
      <c r="AF51" s="103"/>
      <c r="AG51" s="106"/>
      <c r="AH51" s="37"/>
      <c r="AI51" s="107"/>
      <c r="AJ51" s="107"/>
      <c r="AK51" s="103"/>
      <c r="AL51" s="106"/>
      <c r="AM51" s="37"/>
      <c r="AN51" s="107"/>
      <c r="AO51" s="107"/>
      <c r="AP51" s="103"/>
    </row>
    <row r="52" customFormat="false" ht="11.25" hidden="false" customHeight="true" outlineLevel="0" collapsed="false">
      <c r="A52" s="109"/>
      <c r="B52" s="70"/>
      <c r="C52" s="106"/>
      <c r="D52" s="37"/>
      <c r="E52" s="107"/>
      <c r="F52" s="107"/>
      <c r="G52" s="103"/>
      <c r="H52" s="106"/>
      <c r="I52" s="37"/>
      <c r="J52" s="107"/>
      <c r="K52" s="107"/>
      <c r="L52" s="103"/>
      <c r="M52" s="106"/>
      <c r="N52" s="37"/>
      <c r="O52" s="107"/>
      <c r="P52" s="107"/>
      <c r="Q52" s="103"/>
      <c r="R52" s="106"/>
      <c r="S52" s="37"/>
      <c r="T52" s="107"/>
      <c r="U52" s="107"/>
      <c r="V52" s="103"/>
      <c r="W52" s="106"/>
      <c r="X52" s="37"/>
      <c r="Y52" s="107"/>
      <c r="Z52" s="107"/>
      <c r="AA52" s="103"/>
      <c r="AB52" s="106"/>
      <c r="AC52" s="37"/>
      <c r="AD52" s="107"/>
      <c r="AE52" s="107"/>
      <c r="AF52" s="103"/>
      <c r="AG52" s="106"/>
      <c r="AH52" s="37"/>
      <c r="AI52" s="107"/>
      <c r="AJ52" s="107"/>
      <c r="AK52" s="103"/>
      <c r="AL52" s="106"/>
      <c r="AM52" s="37"/>
      <c r="AN52" s="107"/>
      <c r="AO52" s="107"/>
      <c r="AP52" s="103"/>
    </row>
    <row r="53" customFormat="false" ht="11.25" hidden="false" customHeight="true" outlineLevel="0" collapsed="false">
      <c r="A53" s="109"/>
      <c r="B53" s="112"/>
      <c r="C53" s="111"/>
      <c r="D53" s="36"/>
      <c r="E53" s="108"/>
      <c r="F53" s="108"/>
      <c r="G53" s="103"/>
      <c r="H53" s="111"/>
      <c r="I53" s="36"/>
      <c r="J53" s="108"/>
      <c r="K53" s="108"/>
      <c r="L53" s="103"/>
      <c r="M53" s="111"/>
      <c r="N53" s="36"/>
      <c r="O53" s="108"/>
      <c r="P53" s="108"/>
      <c r="Q53" s="103"/>
      <c r="R53" s="111"/>
      <c r="S53" s="36"/>
      <c r="T53" s="108"/>
      <c r="U53" s="108"/>
      <c r="V53" s="103"/>
      <c r="W53" s="111"/>
      <c r="X53" s="36"/>
      <c r="Y53" s="108"/>
      <c r="Z53" s="108"/>
      <c r="AA53" s="103"/>
      <c r="AB53" s="111"/>
      <c r="AC53" s="36"/>
      <c r="AD53" s="108"/>
      <c r="AE53" s="108"/>
      <c r="AF53" s="103"/>
      <c r="AG53" s="111"/>
      <c r="AH53" s="36"/>
      <c r="AI53" s="108"/>
      <c r="AJ53" s="108"/>
      <c r="AK53" s="103"/>
      <c r="AL53" s="111"/>
      <c r="AM53" s="36"/>
      <c r="AN53" s="108"/>
      <c r="AO53" s="108"/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/>
      <c r="F54" s="117"/>
      <c r="G54" s="103"/>
      <c r="H54" s="98"/>
      <c r="I54" s="98"/>
      <c r="J54" s="117"/>
      <c r="K54" s="117"/>
      <c r="L54" s="103"/>
      <c r="M54" s="98"/>
      <c r="N54" s="98"/>
      <c r="O54" s="117"/>
      <c r="P54" s="117"/>
      <c r="Q54" s="103"/>
      <c r="R54" s="98"/>
      <c r="S54" s="98"/>
      <c r="T54" s="117"/>
      <c r="U54" s="117"/>
      <c r="V54" s="103"/>
      <c r="W54" s="98"/>
      <c r="X54" s="98"/>
      <c r="Y54" s="117"/>
      <c r="Z54" s="117"/>
      <c r="AA54" s="103"/>
      <c r="AB54" s="98"/>
      <c r="AC54" s="98"/>
      <c r="AD54" s="117"/>
      <c r="AE54" s="117"/>
      <c r="AF54" s="103"/>
      <c r="AG54" s="98"/>
      <c r="AH54" s="98"/>
      <c r="AI54" s="117"/>
      <c r="AJ54" s="117"/>
      <c r="AK54" s="103"/>
      <c r="AL54" s="98"/>
      <c r="AM54" s="98"/>
      <c r="AN54" s="117"/>
      <c r="AO54" s="117"/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A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18359375" defaultRowHeight="11.25" zeroHeight="false" outlineLevelRow="0" outlineLevelCol="0"/>
  <cols>
    <col collapsed="false" customWidth="true" hidden="false" outlineLevel="0" max="1" min="1" style="50" width="3.54"/>
    <col collapsed="false" customWidth="true" hidden="false" outlineLevel="0" max="2" min="2" style="94" width="46.82"/>
    <col collapsed="false" customWidth="true" hidden="false" outlineLevel="0" max="3" min="3" style="95" width="13.18"/>
    <col collapsed="false" customWidth="true" hidden="false" outlineLevel="0" max="4" min="4" style="34" width="9.45"/>
    <col collapsed="false" customWidth="true" hidden="false" outlineLevel="0" max="5" min="5" style="96" width="12.45"/>
    <col collapsed="false" customWidth="true" hidden="false" outlineLevel="0" max="6" min="6" style="96" width="12.54"/>
    <col collapsed="false" customWidth="true" hidden="false" outlineLevel="0" max="7" min="7" style="96" width="1.45"/>
    <col collapsed="false" customWidth="true" hidden="false" outlineLevel="0" max="8" min="8" style="95" width="9.45"/>
    <col collapsed="false" customWidth="true" hidden="false" outlineLevel="0" max="9" min="9" style="34" width="9.45"/>
    <col collapsed="false" customWidth="true" hidden="false" outlineLevel="0" max="10" min="10" style="96" width="12.45"/>
    <col collapsed="false" customWidth="true" hidden="false" outlineLevel="0" max="11" min="11" style="96" width="12.54"/>
    <col collapsed="false" customWidth="true" hidden="false" outlineLevel="0" max="12" min="12" style="96" width="1.45"/>
    <col collapsed="false" customWidth="true" hidden="false" outlineLevel="0" max="13" min="13" style="95" width="9.45"/>
    <col collapsed="false" customWidth="true" hidden="false" outlineLevel="0" max="14" min="14" style="34" width="9.45"/>
    <col collapsed="false" customWidth="true" hidden="false" outlineLevel="0" max="15" min="15" style="96" width="12.45"/>
    <col collapsed="false" customWidth="true" hidden="false" outlineLevel="0" max="16" min="16" style="96" width="12.54"/>
    <col collapsed="false" customWidth="true" hidden="false" outlineLevel="0" max="17" min="17" style="96" width="1.45"/>
    <col collapsed="false" customWidth="true" hidden="false" outlineLevel="0" max="18" min="18" style="95" width="9.45"/>
    <col collapsed="false" customWidth="true" hidden="false" outlineLevel="0" max="19" min="19" style="34" width="9.45"/>
    <col collapsed="false" customWidth="true" hidden="false" outlineLevel="0" max="20" min="20" style="96" width="12.45"/>
    <col collapsed="false" customWidth="true" hidden="false" outlineLevel="0" max="21" min="21" style="96" width="12.54"/>
    <col collapsed="false" customWidth="true" hidden="false" outlineLevel="0" max="22" min="22" style="96" width="1.45"/>
    <col collapsed="false" customWidth="true" hidden="false" outlineLevel="0" max="23" min="23" style="95" width="9.45"/>
    <col collapsed="false" customWidth="true" hidden="false" outlineLevel="0" max="24" min="24" style="34" width="9.45"/>
    <col collapsed="false" customWidth="true" hidden="false" outlineLevel="0" max="25" min="25" style="96" width="12.45"/>
    <col collapsed="false" customWidth="true" hidden="false" outlineLevel="0" max="26" min="26" style="96" width="12.54"/>
    <col collapsed="false" customWidth="true" hidden="false" outlineLevel="0" max="27" min="27" style="96" width="1.45"/>
    <col collapsed="false" customWidth="true" hidden="false" outlineLevel="0" max="28" min="28" style="95" width="9.45"/>
    <col collapsed="false" customWidth="true" hidden="false" outlineLevel="0" max="29" min="29" style="34" width="9.45"/>
    <col collapsed="false" customWidth="true" hidden="false" outlineLevel="0" max="30" min="30" style="96" width="12.45"/>
    <col collapsed="false" customWidth="true" hidden="false" outlineLevel="0" max="31" min="31" style="96" width="12.54"/>
    <col collapsed="false" customWidth="true" hidden="false" outlineLevel="0" max="32" min="32" style="96" width="1.45"/>
    <col collapsed="false" customWidth="true" hidden="false" outlineLevel="0" max="33" min="33" style="95" width="9.45"/>
    <col collapsed="false" customWidth="true" hidden="false" outlineLevel="0" max="34" min="34" style="34" width="9.45"/>
    <col collapsed="false" customWidth="true" hidden="false" outlineLevel="0" max="35" min="35" style="96" width="12.45"/>
    <col collapsed="false" customWidth="true" hidden="false" outlineLevel="0" max="36" min="36" style="96" width="12.54"/>
    <col collapsed="false" customWidth="true" hidden="false" outlineLevel="0" max="37" min="37" style="96" width="1.45"/>
    <col collapsed="false" customWidth="true" hidden="false" outlineLevel="0" max="38" min="38" style="95" width="9.45"/>
    <col collapsed="false" customWidth="true" hidden="false" outlineLevel="0" max="39" min="39" style="34" width="9.45"/>
    <col collapsed="false" customWidth="true" hidden="false" outlineLevel="0" max="40" min="40" style="96" width="12.45"/>
    <col collapsed="false" customWidth="true" hidden="false" outlineLevel="0" max="41" min="41" style="96" width="12.54"/>
    <col collapsed="false" customWidth="true" hidden="false" outlineLevel="0" max="42" min="42" style="96" width="1.45"/>
    <col collapsed="false" customWidth="false" hidden="false" outlineLevel="0" max="16384" min="43" style="6" width="7.18"/>
  </cols>
  <sheetData>
    <row r="1" customFormat="false" ht="15" hidden="false" customHeight="true" outlineLevel="0" collapsed="false">
      <c r="B1" s="172" t="s">
        <v>231</v>
      </c>
    </row>
    <row r="2" customFormat="false" ht="15" hidden="false" customHeight="true" outlineLevel="0" collapsed="false">
      <c r="B2" s="172" t="s">
        <v>232</v>
      </c>
    </row>
    <row r="3" s="11" customFormat="true" ht="15.75" hidden="false" customHeight="true" outlineLevel="0" collapsed="false">
      <c r="A3" s="98"/>
      <c r="B3" s="98"/>
      <c r="C3" s="99"/>
      <c r="D3" s="99"/>
      <c r="E3" s="99"/>
      <c r="F3" s="99"/>
      <c r="G3" s="100"/>
      <c r="H3" s="99"/>
      <c r="I3" s="99"/>
      <c r="J3" s="99"/>
      <c r="K3" s="99"/>
      <c r="L3" s="100"/>
      <c r="M3" s="99"/>
      <c r="N3" s="99"/>
      <c r="O3" s="99"/>
      <c r="P3" s="99"/>
      <c r="Q3" s="100"/>
      <c r="R3" s="99"/>
      <c r="S3" s="99"/>
      <c r="T3" s="99"/>
      <c r="U3" s="99"/>
      <c r="V3" s="100"/>
      <c r="W3" s="99"/>
      <c r="X3" s="99"/>
      <c r="Y3" s="99"/>
      <c r="Z3" s="99"/>
      <c r="AA3" s="100"/>
      <c r="AB3" s="99"/>
      <c r="AC3" s="99"/>
      <c r="AD3" s="99"/>
      <c r="AE3" s="99"/>
      <c r="AF3" s="100"/>
      <c r="AG3" s="99"/>
      <c r="AH3" s="99"/>
      <c r="AI3" s="99"/>
      <c r="AJ3" s="99"/>
      <c r="AK3" s="100"/>
      <c r="AL3" s="99"/>
      <c r="AM3" s="99"/>
      <c r="AN3" s="99"/>
      <c r="AO3" s="99"/>
      <c r="AP3" s="100"/>
    </row>
    <row r="4" s="11" customFormat="true" ht="15.75" hidden="false" customHeight="true" outlineLevel="0" collapsed="false">
      <c r="A4" s="101"/>
      <c r="B4" s="102" t="str">
        <f aca="true" t="array" ref="B4:B4">MID(CELL("filename",A3),FIND("]",CELL("filename",A3))+1,255)</f>
        <v>14.2 Construction Inflation</v>
      </c>
      <c r="C4" s="100"/>
      <c r="D4" s="98"/>
      <c r="E4" s="103"/>
      <c r="F4" s="103"/>
      <c r="G4" s="103"/>
      <c r="H4" s="100"/>
      <c r="I4" s="98"/>
      <c r="J4" s="103"/>
      <c r="K4" s="103"/>
      <c r="L4" s="103"/>
      <c r="M4" s="100"/>
      <c r="N4" s="98"/>
      <c r="O4" s="103"/>
      <c r="P4" s="103"/>
      <c r="Q4" s="103"/>
      <c r="R4" s="100"/>
      <c r="S4" s="98"/>
      <c r="T4" s="103"/>
      <c r="U4" s="103"/>
      <c r="V4" s="103"/>
      <c r="W4" s="100"/>
      <c r="X4" s="98"/>
      <c r="Y4" s="103"/>
      <c r="Z4" s="103"/>
      <c r="AA4" s="103"/>
      <c r="AB4" s="100"/>
      <c r="AC4" s="98"/>
      <c r="AD4" s="103"/>
      <c r="AE4" s="103"/>
      <c r="AF4" s="103"/>
      <c r="AG4" s="100"/>
      <c r="AH4" s="98"/>
      <c r="AI4" s="103"/>
      <c r="AJ4" s="103"/>
      <c r="AK4" s="103"/>
      <c r="AL4" s="100"/>
      <c r="AM4" s="98"/>
      <c r="AN4" s="103"/>
      <c r="AO4" s="103"/>
      <c r="AP4" s="103"/>
    </row>
    <row r="5" customFormat="false" ht="11.25" hidden="false" customHeight="true" outlineLevel="0" collapsed="false">
      <c r="A5" s="173" t="str">
        <f aca="false">IF(B5&gt;0,IF(C5&gt;0,MAX($A$3:A4)+1," ")," ")</f>
        <v> </v>
      </c>
      <c r="B5" s="105"/>
      <c r="C5" s="106"/>
      <c r="D5" s="37"/>
      <c r="E5" s="107"/>
      <c r="F5" s="108"/>
      <c r="G5" s="103"/>
      <c r="H5" s="106"/>
      <c r="I5" s="37"/>
      <c r="J5" s="107"/>
      <c r="K5" s="108"/>
      <c r="L5" s="103"/>
      <c r="M5" s="106"/>
      <c r="N5" s="37"/>
      <c r="O5" s="107"/>
      <c r="P5" s="108"/>
      <c r="Q5" s="103"/>
      <c r="R5" s="106"/>
      <c r="S5" s="37"/>
      <c r="T5" s="107"/>
      <c r="U5" s="108"/>
      <c r="V5" s="103"/>
      <c r="W5" s="106"/>
      <c r="X5" s="37"/>
      <c r="Y5" s="107"/>
      <c r="Z5" s="108"/>
      <c r="AA5" s="103"/>
      <c r="AB5" s="106"/>
      <c r="AC5" s="37"/>
      <c r="AD5" s="107"/>
      <c r="AE5" s="108"/>
      <c r="AF5" s="103"/>
      <c r="AG5" s="106"/>
      <c r="AH5" s="37"/>
      <c r="AI5" s="107"/>
      <c r="AJ5" s="108"/>
      <c r="AK5" s="103"/>
      <c r="AL5" s="106"/>
      <c r="AM5" s="37"/>
      <c r="AN5" s="107"/>
      <c r="AO5" s="108"/>
      <c r="AP5" s="103"/>
    </row>
    <row r="6" customFormat="false" ht="11.25" hidden="false" customHeight="true" outlineLevel="0" collapsed="false">
      <c r="A6" s="174" t="str">
        <f aca="false">IF(B6&gt;0,IF(C6&gt;0,MAX($A$3:A5)+1," ")," ")</f>
        <v> </v>
      </c>
      <c r="B6" s="110" t="str">
        <f aca="false">B4</f>
        <v>14.2 Construction Inflation</v>
      </c>
      <c r="C6" s="111"/>
      <c r="D6" s="36"/>
      <c r="E6" s="108"/>
      <c r="F6" s="108"/>
      <c r="G6" s="103"/>
      <c r="H6" s="111"/>
      <c r="I6" s="36"/>
      <c r="J6" s="108"/>
      <c r="K6" s="108"/>
      <c r="L6" s="103"/>
      <c r="M6" s="111"/>
      <c r="N6" s="36"/>
      <c r="O6" s="108"/>
      <c r="P6" s="108"/>
      <c r="Q6" s="103"/>
      <c r="R6" s="111"/>
      <c r="S6" s="36"/>
      <c r="T6" s="108"/>
      <c r="U6" s="108"/>
      <c r="V6" s="103"/>
      <c r="W6" s="111"/>
      <c r="X6" s="36"/>
      <c r="Y6" s="108"/>
      <c r="Z6" s="108"/>
      <c r="AA6" s="103"/>
      <c r="AB6" s="111"/>
      <c r="AC6" s="36"/>
      <c r="AD6" s="108"/>
      <c r="AE6" s="108"/>
      <c r="AF6" s="103"/>
      <c r="AG6" s="111"/>
      <c r="AH6" s="36"/>
      <c r="AI6" s="108"/>
      <c r="AJ6" s="108"/>
      <c r="AK6" s="103"/>
      <c r="AL6" s="111"/>
      <c r="AM6" s="36"/>
      <c r="AN6" s="108"/>
      <c r="AO6" s="108"/>
      <c r="AP6" s="103"/>
    </row>
    <row r="7" customFormat="false" ht="11.25" hidden="false" customHeight="true" outlineLevel="0" collapsed="false">
      <c r="A7" s="174" t="str">
        <f aca="false">IF(B7&gt;0,IF(C7&gt;0,MAX($A$3:A6)+1," ")," ")</f>
        <v> </v>
      </c>
      <c r="B7" s="112"/>
      <c r="C7" s="111"/>
      <c r="D7" s="36"/>
      <c r="E7" s="108"/>
      <c r="F7" s="108" t="str">
        <f aca="false">IF(ISBLANK(C7),"",C7*E7)</f>
        <v/>
      </c>
      <c r="G7" s="103"/>
      <c r="H7" s="111"/>
      <c r="I7" s="36"/>
      <c r="J7" s="108"/>
      <c r="K7" s="108" t="str">
        <f aca="false">IF(ISBLANK(H7),"",H7*J7)</f>
        <v/>
      </c>
      <c r="L7" s="103"/>
      <c r="M7" s="111"/>
      <c r="N7" s="36"/>
      <c r="O7" s="108"/>
      <c r="P7" s="108" t="str">
        <f aca="false">IF(ISBLANK(M7),"",M7*O7)</f>
        <v/>
      </c>
      <c r="Q7" s="103"/>
      <c r="R7" s="111"/>
      <c r="S7" s="36"/>
      <c r="T7" s="108"/>
      <c r="U7" s="108" t="str">
        <f aca="false">IF(ISBLANK(R7),"",R7*T7)</f>
        <v/>
      </c>
      <c r="V7" s="103"/>
      <c r="W7" s="111"/>
      <c r="X7" s="36"/>
      <c r="Y7" s="108"/>
      <c r="Z7" s="108" t="str">
        <f aca="false">IF(ISBLANK(W7),"",W7*Y7)</f>
        <v/>
      </c>
      <c r="AA7" s="103"/>
      <c r="AB7" s="111"/>
      <c r="AC7" s="36"/>
      <c r="AD7" s="108"/>
      <c r="AE7" s="108" t="str">
        <f aca="false">IF(ISBLANK(AB7),"",AB7*AD7)</f>
        <v/>
      </c>
      <c r="AF7" s="103"/>
      <c r="AG7" s="111"/>
      <c r="AH7" s="36"/>
      <c r="AI7" s="108"/>
      <c r="AJ7" s="108" t="str">
        <f aca="false">IF(ISBLANK(AG7),"",AG7*AI7)</f>
        <v/>
      </c>
      <c r="AK7" s="103"/>
      <c r="AL7" s="111"/>
      <c r="AM7" s="36"/>
      <c r="AN7" s="108"/>
      <c r="AO7" s="108" t="str">
        <f aca="false">IF(ISBLANK(AL7),"",AL7*AN7)</f>
        <v/>
      </c>
      <c r="AP7" s="103"/>
    </row>
    <row r="8" customFormat="false" ht="11.25" hidden="false" customHeight="true" outlineLevel="0" collapsed="false">
      <c r="A8" s="109"/>
      <c r="B8" s="70" t="s">
        <v>1127</v>
      </c>
      <c r="C8" s="113" t="n">
        <v>420</v>
      </c>
      <c r="D8" s="36"/>
      <c r="E8" s="108"/>
      <c r="F8" s="108"/>
      <c r="G8" s="103"/>
      <c r="H8" s="113"/>
      <c r="I8" s="36"/>
      <c r="J8" s="108"/>
      <c r="K8" s="108"/>
      <c r="L8" s="103"/>
      <c r="M8" s="113"/>
      <c r="N8" s="36"/>
      <c r="O8" s="108"/>
      <c r="P8" s="108"/>
      <c r="Q8" s="103"/>
      <c r="R8" s="113"/>
      <c r="S8" s="36"/>
      <c r="T8" s="108"/>
      <c r="U8" s="108"/>
      <c r="V8" s="103"/>
      <c r="W8" s="113"/>
      <c r="X8" s="36"/>
      <c r="Y8" s="108"/>
      <c r="Z8" s="108"/>
      <c r="AA8" s="103"/>
      <c r="AB8" s="113"/>
      <c r="AC8" s="36"/>
      <c r="AD8" s="108"/>
      <c r="AE8" s="108"/>
      <c r="AF8" s="103"/>
      <c r="AG8" s="113"/>
      <c r="AH8" s="36"/>
      <c r="AI8" s="108"/>
      <c r="AJ8" s="108"/>
      <c r="AK8" s="103"/>
      <c r="AL8" s="113"/>
      <c r="AM8" s="36"/>
      <c r="AN8" s="108"/>
      <c r="AO8" s="108"/>
      <c r="AP8" s="103"/>
    </row>
    <row r="9" customFormat="false" ht="11.25" hidden="false" customHeight="true" outlineLevel="0" collapsed="false">
      <c r="A9" s="109"/>
      <c r="B9" s="70" t="s">
        <v>1128</v>
      </c>
      <c r="C9" s="113" t="n">
        <v>425</v>
      </c>
      <c r="D9" s="36"/>
      <c r="E9" s="108"/>
      <c r="F9" s="108"/>
      <c r="G9" s="103"/>
      <c r="H9" s="113"/>
      <c r="I9" s="36"/>
      <c r="J9" s="108"/>
      <c r="K9" s="108"/>
      <c r="L9" s="103"/>
      <c r="M9" s="113"/>
      <c r="N9" s="36"/>
      <c r="O9" s="108"/>
      <c r="P9" s="108"/>
      <c r="Q9" s="103"/>
      <c r="R9" s="113"/>
      <c r="S9" s="36"/>
      <c r="T9" s="108"/>
      <c r="U9" s="108"/>
      <c r="V9" s="103"/>
      <c r="W9" s="113"/>
      <c r="X9" s="36"/>
      <c r="Y9" s="108"/>
      <c r="Z9" s="108"/>
      <c r="AA9" s="103"/>
      <c r="AB9" s="113"/>
      <c r="AC9" s="36"/>
      <c r="AD9" s="108"/>
      <c r="AE9" s="108"/>
      <c r="AF9" s="103"/>
      <c r="AG9" s="113"/>
      <c r="AH9" s="36"/>
      <c r="AI9" s="108"/>
      <c r="AJ9" s="108"/>
      <c r="AK9" s="103"/>
      <c r="AL9" s="113"/>
      <c r="AM9" s="36"/>
      <c r="AN9" s="108"/>
      <c r="AO9" s="108"/>
      <c r="AP9" s="103"/>
    </row>
    <row r="10" customFormat="false" ht="11.25" hidden="false" customHeight="true" outlineLevel="0" collapsed="false">
      <c r="A10" s="109"/>
      <c r="B10" s="70" t="s">
        <v>1125</v>
      </c>
      <c r="C10" s="113" t="n">
        <f aca="false">C9-C8</f>
        <v>5</v>
      </c>
      <c r="D10" s="36"/>
      <c r="E10" s="108"/>
      <c r="F10" s="108"/>
      <c r="G10" s="103"/>
      <c r="H10" s="113"/>
      <c r="I10" s="36"/>
      <c r="J10" s="108"/>
      <c r="K10" s="108"/>
      <c r="L10" s="103"/>
      <c r="M10" s="113"/>
      <c r="N10" s="36"/>
      <c r="O10" s="108"/>
      <c r="P10" s="108"/>
      <c r="Q10" s="103"/>
      <c r="R10" s="113"/>
      <c r="S10" s="36"/>
      <c r="T10" s="108"/>
      <c r="U10" s="108"/>
      <c r="V10" s="103"/>
      <c r="W10" s="113"/>
      <c r="X10" s="36"/>
      <c r="Y10" s="108"/>
      <c r="Z10" s="108"/>
      <c r="AA10" s="103"/>
      <c r="AB10" s="113"/>
      <c r="AC10" s="36"/>
      <c r="AD10" s="108"/>
      <c r="AE10" s="108"/>
      <c r="AF10" s="103"/>
      <c r="AG10" s="113"/>
      <c r="AH10" s="36"/>
      <c r="AI10" s="108"/>
      <c r="AJ10" s="108"/>
      <c r="AK10" s="103"/>
      <c r="AL10" s="113"/>
      <c r="AM10" s="36"/>
      <c r="AN10" s="108"/>
      <c r="AO10" s="108"/>
      <c r="AP10" s="103"/>
    </row>
    <row r="11" customFormat="false" ht="11.25" hidden="false" customHeight="true" outlineLevel="0" collapsed="false">
      <c r="A11" s="109"/>
      <c r="B11" s="70" t="s">
        <v>1126</v>
      </c>
      <c r="C11" s="182" t="n">
        <f aca="false">C10/C8*100</f>
        <v>1.19047619047619</v>
      </c>
      <c r="D11" s="36"/>
      <c r="E11" s="108"/>
      <c r="F11" s="108"/>
      <c r="G11" s="103"/>
      <c r="H11" s="113"/>
      <c r="I11" s="36"/>
      <c r="J11" s="108"/>
      <c r="K11" s="108"/>
      <c r="L11" s="103"/>
      <c r="M11" s="113"/>
      <c r="N11" s="36"/>
      <c r="O11" s="108"/>
      <c r="P11" s="108"/>
      <c r="Q11" s="103"/>
      <c r="R11" s="113"/>
      <c r="S11" s="36"/>
      <c r="T11" s="108"/>
      <c r="U11" s="108"/>
      <c r="V11" s="103"/>
      <c r="W11" s="113"/>
      <c r="X11" s="36"/>
      <c r="Y11" s="108"/>
      <c r="Z11" s="108"/>
      <c r="AA11" s="103"/>
      <c r="AB11" s="113"/>
      <c r="AC11" s="36"/>
      <c r="AD11" s="108"/>
      <c r="AE11" s="108"/>
      <c r="AF11" s="103"/>
      <c r="AG11" s="113"/>
      <c r="AH11" s="36"/>
      <c r="AI11" s="108"/>
      <c r="AJ11" s="108"/>
      <c r="AK11" s="103"/>
      <c r="AL11" s="113"/>
      <c r="AM11" s="36"/>
      <c r="AN11" s="108"/>
      <c r="AO11" s="108"/>
      <c r="AP11" s="103"/>
    </row>
    <row r="12" customFormat="false" ht="11.25" hidden="false" customHeight="true" outlineLevel="0" collapsed="false">
      <c r="A12" s="109"/>
      <c r="B12" s="70"/>
      <c r="C12" s="113"/>
      <c r="D12" s="36"/>
      <c r="E12" s="108"/>
      <c r="F12" s="108"/>
      <c r="G12" s="103"/>
      <c r="H12" s="113"/>
      <c r="I12" s="36"/>
      <c r="J12" s="108"/>
      <c r="K12" s="108"/>
      <c r="L12" s="103"/>
      <c r="M12" s="113"/>
      <c r="N12" s="36"/>
      <c r="O12" s="108"/>
      <c r="P12" s="108"/>
      <c r="Q12" s="103"/>
      <c r="R12" s="113"/>
      <c r="S12" s="36"/>
      <c r="T12" s="108"/>
      <c r="U12" s="108"/>
      <c r="V12" s="103"/>
      <c r="W12" s="113"/>
      <c r="X12" s="36"/>
      <c r="Y12" s="108"/>
      <c r="Z12" s="108"/>
      <c r="AA12" s="103"/>
      <c r="AB12" s="113"/>
      <c r="AC12" s="36"/>
      <c r="AD12" s="108"/>
      <c r="AE12" s="108"/>
      <c r="AF12" s="103"/>
      <c r="AG12" s="113"/>
      <c r="AH12" s="36"/>
      <c r="AI12" s="108"/>
      <c r="AJ12" s="108"/>
      <c r="AK12" s="103"/>
      <c r="AL12" s="113"/>
      <c r="AM12" s="36"/>
      <c r="AN12" s="108"/>
      <c r="AO12" s="108"/>
      <c r="AP12" s="103"/>
    </row>
    <row r="13" customFormat="false" ht="11.25" hidden="false" customHeight="true" outlineLevel="0" collapsed="false">
      <c r="A13" s="109"/>
      <c r="B13" s="70"/>
      <c r="C13" s="113"/>
      <c r="D13" s="36"/>
      <c r="E13" s="108"/>
      <c r="F13" s="108"/>
      <c r="G13" s="103"/>
      <c r="H13" s="113"/>
      <c r="I13" s="36"/>
      <c r="J13" s="108"/>
      <c r="K13" s="108"/>
      <c r="L13" s="103"/>
      <c r="M13" s="113"/>
      <c r="N13" s="36"/>
      <c r="O13" s="108"/>
      <c r="P13" s="108"/>
      <c r="Q13" s="103"/>
      <c r="R13" s="113"/>
      <c r="S13" s="36"/>
      <c r="T13" s="108"/>
      <c r="U13" s="108"/>
      <c r="V13" s="103"/>
      <c r="W13" s="113"/>
      <c r="X13" s="36"/>
      <c r="Y13" s="108"/>
      <c r="Z13" s="108"/>
      <c r="AA13" s="103"/>
      <c r="AB13" s="113"/>
      <c r="AC13" s="36"/>
      <c r="AD13" s="108"/>
      <c r="AE13" s="108"/>
      <c r="AF13" s="103"/>
      <c r="AG13" s="113"/>
      <c r="AH13" s="36"/>
      <c r="AI13" s="108"/>
      <c r="AJ13" s="108"/>
      <c r="AK13" s="103"/>
      <c r="AL13" s="113"/>
      <c r="AM13" s="36"/>
      <c r="AN13" s="108"/>
      <c r="AO13" s="108"/>
      <c r="AP13" s="103"/>
    </row>
    <row r="14" customFormat="false" ht="11.25" hidden="false" customHeight="true" outlineLevel="0" collapsed="false">
      <c r="A14" s="109"/>
      <c r="B14" s="70"/>
      <c r="C14" s="113"/>
      <c r="D14" s="36"/>
      <c r="E14" s="108"/>
      <c r="F14" s="108"/>
      <c r="G14" s="103"/>
      <c r="H14" s="113"/>
      <c r="I14" s="36"/>
      <c r="J14" s="108"/>
      <c r="K14" s="108"/>
      <c r="L14" s="103"/>
      <c r="M14" s="113"/>
      <c r="N14" s="36"/>
      <c r="O14" s="108"/>
      <c r="P14" s="108"/>
      <c r="Q14" s="103"/>
      <c r="R14" s="113"/>
      <c r="S14" s="36"/>
      <c r="T14" s="108"/>
      <c r="U14" s="108"/>
      <c r="V14" s="103"/>
      <c r="W14" s="113"/>
      <c r="X14" s="36"/>
      <c r="Y14" s="108"/>
      <c r="Z14" s="108"/>
      <c r="AA14" s="103"/>
      <c r="AB14" s="113"/>
      <c r="AC14" s="36"/>
      <c r="AD14" s="108"/>
      <c r="AE14" s="108"/>
      <c r="AF14" s="103"/>
      <c r="AG14" s="113"/>
      <c r="AH14" s="36"/>
      <c r="AI14" s="108"/>
      <c r="AJ14" s="108"/>
      <c r="AK14" s="103"/>
      <c r="AL14" s="113"/>
      <c r="AM14" s="36"/>
      <c r="AN14" s="108"/>
      <c r="AO14" s="108"/>
      <c r="AP14" s="103"/>
    </row>
    <row r="15" customFormat="false" ht="11.25" hidden="false" customHeight="true" outlineLevel="0" collapsed="false">
      <c r="A15" s="109"/>
      <c r="B15" s="70"/>
      <c r="C15" s="111"/>
      <c r="D15" s="36"/>
      <c r="E15" s="108"/>
      <c r="F15" s="108"/>
      <c r="G15" s="103"/>
      <c r="H15" s="111"/>
      <c r="I15" s="36"/>
      <c r="J15" s="108"/>
      <c r="K15" s="108"/>
      <c r="L15" s="103"/>
      <c r="M15" s="111"/>
      <c r="N15" s="36"/>
      <c r="O15" s="108"/>
      <c r="P15" s="108"/>
      <c r="Q15" s="103"/>
      <c r="R15" s="111"/>
      <c r="S15" s="36"/>
      <c r="T15" s="108"/>
      <c r="U15" s="108"/>
      <c r="V15" s="103"/>
      <c r="W15" s="111"/>
      <c r="X15" s="36"/>
      <c r="Y15" s="108"/>
      <c r="Z15" s="108"/>
      <c r="AA15" s="103"/>
      <c r="AB15" s="111"/>
      <c r="AC15" s="36"/>
      <c r="AD15" s="108"/>
      <c r="AE15" s="108"/>
      <c r="AF15" s="103"/>
      <c r="AG15" s="111"/>
      <c r="AH15" s="36"/>
      <c r="AI15" s="108"/>
      <c r="AJ15" s="108"/>
      <c r="AK15" s="103"/>
      <c r="AL15" s="111"/>
      <c r="AM15" s="36"/>
      <c r="AN15" s="108"/>
      <c r="AO15" s="108"/>
      <c r="AP15" s="103"/>
    </row>
    <row r="16" customFormat="false" ht="11.25" hidden="false" customHeight="true" outlineLevel="0" collapsed="false">
      <c r="A16" s="109"/>
      <c r="B16" s="70"/>
      <c r="C16" s="113"/>
      <c r="D16" s="36"/>
      <c r="E16" s="108"/>
      <c r="F16" s="108"/>
      <c r="G16" s="103"/>
      <c r="H16" s="113"/>
      <c r="I16" s="36"/>
      <c r="J16" s="108"/>
      <c r="K16" s="108"/>
      <c r="L16" s="103"/>
      <c r="M16" s="113"/>
      <c r="N16" s="36"/>
      <c r="O16" s="108"/>
      <c r="P16" s="108"/>
      <c r="Q16" s="103"/>
      <c r="R16" s="113"/>
      <c r="S16" s="36"/>
      <c r="T16" s="108"/>
      <c r="U16" s="108"/>
      <c r="V16" s="103"/>
      <c r="W16" s="113"/>
      <c r="X16" s="36"/>
      <c r="Y16" s="108"/>
      <c r="Z16" s="108"/>
      <c r="AA16" s="103"/>
      <c r="AB16" s="113"/>
      <c r="AC16" s="36"/>
      <c r="AD16" s="108"/>
      <c r="AE16" s="108"/>
      <c r="AF16" s="103"/>
      <c r="AG16" s="113"/>
      <c r="AH16" s="36"/>
      <c r="AI16" s="108"/>
      <c r="AJ16" s="108"/>
      <c r="AK16" s="103"/>
      <c r="AL16" s="113"/>
      <c r="AM16" s="36"/>
      <c r="AN16" s="108"/>
      <c r="AO16" s="108"/>
      <c r="AP16" s="103"/>
    </row>
    <row r="17" customFormat="false" ht="11.25" hidden="false" customHeight="true" outlineLevel="0" collapsed="false">
      <c r="A17" s="109"/>
      <c r="B17" s="70"/>
      <c r="C17" s="113"/>
      <c r="D17" s="36"/>
      <c r="E17" s="108"/>
      <c r="F17" s="108"/>
      <c r="G17" s="103"/>
      <c r="H17" s="113"/>
      <c r="I17" s="36"/>
      <c r="J17" s="108"/>
      <c r="K17" s="108"/>
      <c r="L17" s="103"/>
      <c r="M17" s="113"/>
      <c r="N17" s="36"/>
      <c r="O17" s="108"/>
      <c r="P17" s="108"/>
      <c r="Q17" s="103"/>
      <c r="R17" s="113"/>
      <c r="S17" s="36"/>
      <c r="T17" s="108"/>
      <c r="U17" s="108"/>
      <c r="V17" s="103"/>
      <c r="W17" s="113"/>
      <c r="X17" s="36"/>
      <c r="Y17" s="108"/>
      <c r="Z17" s="108"/>
      <c r="AA17" s="103"/>
      <c r="AB17" s="113"/>
      <c r="AC17" s="36"/>
      <c r="AD17" s="108"/>
      <c r="AE17" s="108"/>
      <c r="AF17" s="103"/>
      <c r="AG17" s="113"/>
      <c r="AH17" s="36"/>
      <c r="AI17" s="108"/>
      <c r="AJ17" s="108"/>
      <c r="AK17" s="103"/>
      <c r="AL17" s="113"/>
      <c r="AM17" s="36"/>
      <c r="AN17" s="108"/>
      <c r="AO17" s="108"/>
      <c r="AP17" s="103"/>
    </row>
    <row r="18" customFormat="false" ht="11.25" hidden="false" customHeight="true" outlineLevel="0" collapsed="false">
      <c r="A18" s="109"/>
      <c r="B18" s="70"/>
      <c r="C18" s="113"/>
      <c r="D18" s="36"/>
      <c r="E18" s="108"/>
      <c r="F18" s="108"/>
      <c r="G18" s="103"/>
      <c r="H18" s="113"/>
      <c r="I18" s="36"/>
      <c r="J18" s="108"/>
      <c r="K18" s="108"/>
      <c r="L18" s="103"/>
      <c r="M18" s="113"/>
      <c r="N18" s="36"/>
      <c r="O18" s="108"/>
      <c r="P18" s="108"/>
      <c r="Q18" s="103"/>
      <c r="R18" s="113"/>
      <c r="S18" s="36"/>
      <c r="T18" s="108"/>
      <c r="U18" s="108"/>
      <c r="V18" s="103"/>
      <c r="W18" s="113"/>
      <c r="X18" s="36"/>
      <c r="Y18" s="108"/>
      <c r="Z18" s="108"/>
      <c r="AA18" s="103"/>
      <c r="AB18" s="113"/>
      <c r="AC18" s="36"/>
      <c r="AD18" s="108"/>
      <c r="AE18" s="108"/>
      <c r="AF18" s="103"/>
      <c r="AG18" s="113"/>
      <c r="AH18" s="36"/>
      <c r="AI18" s="108"/>
      <c r="AJ18" s="108"/>
      <c r="AK18" s="103"/>
      <c r="AL18" s="113"/>
      <c r="AM18" s="36"/>
      <c r="AN18" s="108"/>
      <c r="AO18" s="108"/>
      <c r="AP18" s="103"/>
    </row>
    <row r="19" customFormat="false" ht="11.25" hidden="false" customHeight="true" outlineLevel="0" collapsed="false">
      <c r="A19" s="109"/>
      <c r="B19" s="70"/>
      <c r="C19" s="113"/>
      <c r="D19" s="36"/>
      <c r="E19" s="108"/>
      <c r="F19" s="108"/>
      <c r="G19" s="103"/>
      <c r="H19" s="113"/>
      <c r="I19" s="36"/>
      <c r="J19" s="108"/>
      <c r="K19" s="108"/>
      <c r="L19" s="103"/>
      <c r="M19" s="113"/>
      <c r="N19" s="36"/>
      <c r="O19" s="108"/>
      <c r="P19" s="108"/>
      <c r="Q19" s="103"/>
      <c r="R19" s="113"/>
      <c r="S19" s="36"/>
      <c r="T19" s="108"/>
      <c r="U19" s="108"/>
      <c r="V19" s="103"/>
      <c r="W19" s="113"/>
      <c r="X19" s="36"/>
      <c r="Y19" s="108"/>
      <c r="Z19" s="108"/>
      <c r="AA19" s="103"/>
      <c r="AB19" s="113"/>
      <c r="AC19" s="36"/>
      <c r="AD19" s="108"/>
      <c r="AE19" s="108"/>
      <c r="AF19" s="103"/>
      <c r="AG19" s="113"/>
      <c r="AH19" s="36"/>
      <c r="AI19" s="108"/>
      <c r="AJ19" s="108"/>
      <c r="AK19" s="103"/>
      <c r="AL19" s="113"/>
      <c r="AM19" s="36"/>
      <c r="AN19" s="108"/>
      <c r="AO19" s="108"/>
      <c r="AP19" s="103"/>
    </row>
    <row r="20" customFormat="false" ht="11.25" hidden="false" customHeight="true" outlineLevel="0" collapsed="false">
      <c r="A20" s="109"/>
      <c r="B20" s="70"/>
      <c r="C20" s="113"/>
      <c r="D20" s="36"/>
      <c r="E20" s="108"/>
      <c r="F20" s="108"/>
      <c r="G20" s="103"/>
      <c r="H20" s="113"/>
      <c r="I20" s="36"/>
      <c r="J20" s="108"/>
      <c r="K20" s="108"/>
      <c r="L20" s="103"/>
      <c r="M20" s="113"/>
      <c r="N20" s="36"/>
      <c r="O20" s="108"/>
      <c r="P20" s="108"/>
      <c r="Q20" s="103"/>
      <c r="R20" s="113"/>
      <c r="S20" s="36"/>
      <c r="T20" s="108"/>
      <c r="U20" s="108"/>
      <c r="V20" s="103"/>
      <c r="W20" s="113"/>
      <c r="X20" s="36"/>
      <c r="Y20" s="108"/>
      <c r="Z20" s="108"/>
      <c r="AA20" s="103"/>
      <c r="AB20" s="113"/>
      <c r="AC20" s="36"/>
      <c r="AD20" s="108"/>
      <c r="AE20" s="108"/>
      <c r="AF20" s="103"/>
      <c r="AG20" s="113"/>
      <c r="AH20" s="36"/>
      <c r="AI20" s="108"/>
      <c r="AJ20" s="108"/>
      <c r="AK20" s="103"/>
      <c r="AL20" s="113"/>
      <c r="AM20" s="36"/>
      <c r="AN20" s="108"/>
      <c r="AO20" s="108"/>
      <c r="AP20" s="103"/>
    </row>
    <row r="21" customFormat="false" ht="11.25" hidden="false" customHeight="true" outlineLevel="0" collapsed="false">
      <c r="A21" s="109"/>
      <c r="B21" s="70"/>
      <c r="C21" s="113"/>
      <c r="D21" s="36"/>
      <c r="E21" s="108"/>
      <c r="F21" s="108"/>
      <c r="G21" s="103"/>
      <c r="H21" s="113"/>
      <c r="I21" s="36"/>
      <c r="J21" s="108"/>
      <c r="K21" s="108"/>
      <c r="L21" s="103"/>
      <c r="M21" s="113"/>
      <c r="N21" s="36"/>
      <c r="O21" s="108"/>
      <c r="P21" s="108"/>
      <c r="Q21" s="103"/>
      <c r="R21" s="113"/>
      <c r="S21" s="36"/>
      <c r="T21" s="108"/>
      <c r="U21" s="108"/>
      <c r="V21" s="103"/>
      <c r="W21" s="113"/>
      <c r="X21" s="36"/>
      <c r="Y21" s="108"/>
      <c r="Z21" s="108"/>
      <c r="AA21" s="103"/>
      <c r="AB21" s="113"/>
      <c r="AC21" s="36"/>
      <c r="AD21" s="108"/>
      <c r="AE21" s="108"/>
      <c r="AF21" s="103"/>
      <c r="AG21" s="113"/>
      <c r="AH21" s="36"/>
      <c r="AI21" s="108"/>
      <c r="AJ21" s="108"/>
      <c r="AK21" s="103"/>
      <c r="AL21" s="113"/>
      <c r="AM21" s="36"/>
      <c r="AN21" s="108"/>
      <c r="AO21" s="108"/>
      <c r="AP21" s="103"/>
    </row>
    <row r="22" customFormat="false" ht="11.25" hidden="false" customHeight="true" outlineLevel="0" collapsed="false">
      <c r="A22" s="109"/>
      <c r="B22" s="70"/>
      <c r="C22" s="113"/>
      <c r="D22" s="36"/>
      <c r="E22" s="108"/>
      <c r="F22" s="108"/>
      <c r="G22" s="103"/>
      <c r="H22" s="113"/>
      <c r="I22" s="36"/>
      <c r="J22" s="108"/>
      <c r="K22" s="108"/>
      <c r="L22" s="103"/>
      <c r="M22" s="113"/>
      <c r="N22" s="36"/>
      <c r="O22" s="108"/>
      <c r="P22" s="108"/>
      <c r="Q22" s="103"/>
      <c r="R22" s="113"/>
      <c r="S22" s="36"/>
      <c r="T22" s="108"/>
      <c r="U22" s="108"/>
      <c r="V22" s="103"/>
      <c r="W22" s="113"/>
      <c r="X22" s="36"/>
      <c r="Y22" s="108"/>
      <c r="Z22" s="108"/>
      <c r="AA22" s="103"/>
      <c r="AB22" s="113"/>
      <c r="AC22" s="36"/>
      <c r="AD22" s="108"/>
      <c r="AE22" s="108"/>
      <c r="AF22" s="103"/>
      <c r="AG22" s="113"/>
      <c r="AH22" s="36"/>
      <c r="AI22" s="108"/>
      <c r="AJ22" s="108"/>
      <c r="AK22" s="103"/>
      <c r="AL22" s="113"/>
      <c r="AM22" s="36"/>
      <c r="AN22" s="108"/>
      <c r="AO22" s="108"/>
      <c r="AP22" s="103"/>
    </row>
    <row r="23" customFormat="false" ht="11.25" hidden="false" customHeight="true" outlineLevel="0" collapsed="false">
      <c r="A23" s="109"/>
      <c r="B23" s="70"/>
      <c r="C23" s="111"/>
      <c r="D23" s="36"/>
      <c r="E23" s="108"/>
      <c r="F23" s="108"/>
      <c r="G23" s="103"/>
      <c r="H23" s="111"/>
      <c r="I23" s="36"/>
      <c r="J23" s="108"/>
      <c r="K23" s="108"/>
      <c r="L23" s="103"/>
      <c r="M23" s="111"/>
      <c r="N23" s="36"/>
      <c r="O23" s="108"/>
      <c r="P23" s="108"/>
      <c r="Q23" s="103"/>
      <c r="R23" s="111"/>
      <c r="S23" s="36"/>
      <c r="T23" s="108"/>
      <c r="U23" s="108"/>
      <c r="V23" s="103"/>
      <c r="W23" s="111"/>
      <c r="X23" s="36"/>
      <c r="Y23" s="108"/>
      <c r="Z23" s="108"/>
      <c r="AA23" s="103"/>
      <c r="AB23" s="111"/>
      <c r="AC23" s="36"/>
      <c r="AD23" s="108"/>
      <c r="AE23" s="108"/>
      <c r="AF23" s="103"/>
      <c r="AG23" s="111"/>
      <c r="AH23" s="36"/>
      <c r="AI23" s="108"/>
      <c r="AJ23" s="108"/>
      <c r="AK23" s="103"/>
      <c r="AL23" s="111"/>
      <c r="AM23" s="36"/>
      <c r="AN23" s="108"/>
      <c r="AO23" s="108"/>
      <c r="AP23" s="103"/>
    </row>
    <row r="24" customFormat="false" ht="11.25" hidden="false" customHeight="true" outlineLevel="0" collapsed="false">
      <c r="A24" s="109"/>
      <c r="B24" s="70"/>
      <c r="C24" s="113"/>
      <c r="D24" s="36"/>
      <c r="E24" s="108"/>
      <c r="F24" s="108"/>
      <c r="G24" s="103"/>
      <c r="H24" s="113"/>
      <c r="I24" s="36"/>
      <c r="J24" s="108"/>
      <c r="K24" s="108"/>
      <c r="L24" s="103"/>
      <c r="M24" s="113"/>
      <c r="N24" s="36"/>
      <c r="O24" s="108"/>
      <c r="P24" s="108"/>
      <c r="Q24" s="103"/>
      <c r="R24" s="113"/>
      <c r="S24" s="36"/>
      <c r="T24" s="108"/>
      <c r="U24" s="108"/>
      <c r="V24" s="103"/>
      <c r="W24" s="113"/>
      <c r="X24" s="36"/>
      <c r="Y24" s="108"/>
      <c r="Z24" s="108"/>
      <c r="AA24" s="103"/>
      <c r="AB24" s="113"/>
      <c r="AC24" s="36"/>
      <c r="AD24" s="108"/>
      <c r="AE24" s="108"/>
      <c r="AF24" s="103"/>
      <c r="AG24" s="113"/>
      <c r="AH24" s="36"/>
      <c r="AI24" s="108"/>
      <c r="AJ24" s="108"/>
      <c r="AK24" s="103"/>
      <c r="AL24" s="113"/>
      <c r="AM24" s="36"/>
      <c r="AN24" s="108"/>
      <c r="AO24" s="108"/>
      <c r="AP24" s="103"/>
    </row>
    <row r="25" customFormat="false" ht="11.25" hidden="false" customHeight="true" outlineLevel="0" collapsed="false">
      <c r="A25" s="109"/>
      <c r="B25" s="70"/>
      <c r="C25" s="113"/>
      <c r="D25" s="36"/>
      <c r="E25" s="108"/>
      <c r="F25" s="108"/>
      <c r="G25" s="103"/>
      <c r="H25" s="113"/>
      <c r="I25" s="36"/>
      <c r="J25" s="108"/>
      <c r="K25" s="108"/>
      <c r="L25" s="103"/>
      <c r="M25" s="113"/>
      <c r="N25" s="36"/>
      <c r="O25" s="108"/>
      <c r="P25" s="108"/>
      <c r="Q25" s="103"/>
      <c r="R25" s="113"/>
      <c r="S25" s="36"/>
      <c r="T25" s="108"/>
      <c r="U25" s="108"/>
      <c r="V25" s="103"/>
      <c r="W25" s="113"/>
      <c r="X25" s="36"/>
      <c r="Y25" s="108"/>
      <c r="Z25" s="108"/>
      <c r="AA25" s="103"/>
      <c r="AB25" s="113"/>
      <c r="AC25" s="36"/>
      <c r="AD25" s="108"/>
      <c r="AE25" s="108"/>
      <c r="AF25" s="103"/>
      <c r="AG25" s="113"/>
      <c r="AH25" s="36"/>
      <c r="AI25" s="108"/>
      <c r="AJ25" s="108"/>
      <c r="AK25" s="103"/>
      <c r="AL25" s="113"/>
      <c r="AM25" s="36"/>
      <c r="AN25" s="108"/>
      <c r="AO25" s="108"/>
      <c r="AP25" s="103"/>
    </row>
    <row r="26" customFormat="false" ht="11.25" hidden="false" customHeight="true" outlineLevel="0" collapsed="false">
      <c r="A26" s="109"/>
      <c r="B26" s="70"/>
      <c r="C26" s="113"/>
      <c r="D26" s="36"/>
      <c r="E26" s="108"/>
      <c r="F26" s="108"/>
      <c r="G26" s="103"/>
      <c r="H26" s="113"/>
      <c r="I26" s="36"/>
      <c r="J26" s="108"/>
      <c r="K26" s="108"/>
      <c r="L26" s="103"/>
      <c r="M26" s="113"/>
      <c r="N26" s="36"/>
      <c r="O26" s="108"/>
      <c r="P26" s="108"/>
      <c r="Q26" s="103"/>
      <c r="R26" s="113"/>
      <c r="S26" s="36"/>
      <c r="T26" s="108"/>
      <c r="U26" s="108"/>
      <c r="V26" s="103"/>
      <c r="W26" s="113"/>
      <c r="X26" s="36"/>
      <c r="Y26" s="108"/>
      <c r="Z26" s="108"/>
      <c r="AA26" s="103"/>
      <c r="AB26" s="113"/>
      <c r="AC26" s="36"/>
      <c r="AD26" s="108"/>
      <c r="AE26" s="108"/>
      <c r="AF26" s="103"/>
      <c r="AG26" s="113"/>
      <c r="AH26" s="36"/>
      <c r="AI26" s="108"/>
      <c r="AJ26" s="108"/>
      <c r="AK26" s="103"/>
      <c r="AL26" s="113"/>
      <c r="AM26" s="36"/>
      <c r="AN26" s="108"/>
      <c r="AO26" s="108"/>
      <c r="AP26" s="103"/>
    </row>
    <row r="27" customFormat="false" ht="11.25" hidden="false" customHeight="true" outlineLevel="0" collapsed="false">
      <c r="A27" s="109"/>
      <c r="B27" s="70"/>
      <c r="C27" s="113"/>
      <c r="D27" s="36"/>
      <c r="E27" s="108"/>
      <c r="F27" s="108"/>
      <c r="G27" s="103"/>
      <c r="H27" s="113"/>
      <c r="I27" s="36"/>
      <c r="J27" s="108"/>
      <c r="K27" s="108"/>
      <c r="L27" s="103"/>
      <c r="M27" s="113"/>
      <c r="N27" s="36"/>
      <c r="O27" s="108"/>
      <c r="P27" s="108"/>
      <c r="Q27" s="103"/>
      <c r="R27" s="113"/>
      <c r="S27" s="36"/>
      <c r="T27" s="108"/>
      <c r="U27" s="108"/>
      <c r="V27" s="103"/>
      <c r="W27" s="113"/>
      <c r="X27" s="36"/>
      <c r="Y27" s="108"/>
      <c r="Z27" s="108"/>
      <c r="AA27" s="103"/>
      <c r="AB27" s="113"/>
      <c r="AC27" s="36"/>
      <c r="AD27" s="108"/>
      <c r="AE27" s="108"/>
      <c r="AF27" s="103"/>
      <c r="AG27" s="113"/>
      <c r="AH27" s="36"/>
      <c r="AI27" s="108"/>
      <c r="AJ27" s="108"/>
      <c r="AK27" s="103"/>
      <c r="AL27" s="113"/>
      <c r="AM27" s="36"/>
      <c r="AN27" s="108"/>
      <c r="AO27" s="108"/>
      <c r="AP27" s="103"/>
    </row>
    <row r="28" customFormat="false" ht="11.25" hidden="false" customHeight="true" outlineLevel="0" collapsed="false">
      <c r="A28" s="109"/>
      <c r="B28" s="70"/>
      <c r="C28" s="113"/>
      <c r="D28" s="36"/>
      <c r="E28" s="108"/>
      <c r="F28" s="108"/>
      <c r="G28" s="103"/>
      <c r="H28" s="113"/>
      <c r="I28" s="36"/>
      <c r="J28" s="108"/>
      <c r="K28" s="108"/>
      <c r="L28" s="103"/>
      <c r="M28" s="113"/>
      <c r="N28" s="36"/>
      <c r="O28" s="108"/>
      <c r="P28" s="108"/>
      <c r="Q28" s="103"/>
      <c r="R28" s="113"/>
      <c r="S28" s="36"/>
      <c r="T28" s="108"/>
      <c r="U28" s="108"/>
      <c r="V28" s="103"/>
      <c r="W28" s="113"/>
      <c r="X28" s="36"/>
      <c r="Y28" s="108"/>
      <c r="Z28" s="108"/>
      <c r="AA28" s="103"/>
      <c r="AB28" s="113"/>
      <c r="AC28" s="36"/>
      <c r="AD28" s="108"/>
      <c r="AE28" s="108"/>
      <c r="AF28" s="103"/>
      <c r="AG28" s="113"/>
      <c r="AH28" s="36"/>
      <c r="AI28" s="108"/>
      <c r="AJ28" s="108"/>
      <c r="AK28" s="103"/>
      <c r="AL28" s="113"/>
      <c r="AM28" s="36"/>
      <c r="AN28" s="108"/>
      <c r="AO28" s="108"/>
      <c r="AP28" s="103"/>
    </row>
    <row r="29" customFormat="false" ht="11.25" hidden="false" customHeight="true" outlineLevel="0" collapsed="false">
      <c r="A29" s="109"/>
      <c r="B29" s="70"/>
      <c r="C29" s="113"/>
      <c r="D29" s="36"/>
      <c r="E29" s="108"/>
      <c r="F29" s="108"/>
      <c r="G29" s="103"/>
      <c r="H29" s="113"/>
      <c r="I29" s="36"/>
      <c r="J29" s="108"/>
      <c r="K29" s="108"/>
      <c r="L29" s="103"/>
      <c r="M29" s="113"/>
      <c r="N29" s="36"/>
      <c r="O29" s="108"/>
      <c r="P29" s="108"/>
      <c r="Q29" s="103"/>
      <c r="R29" s="113"/>
      <c r="S29" s="36"/>
      <c r="T29" s="108"/>
      <c r="U29" s="108"/>
      <c r="V29" s="103"/>
      <c r="W29" s="113"/>
      <c r="X29" s="36"/>
      <c r="Y29" s="108"/>
      <c r="Z29" s="108"/>
      <c r="AA29" s="103"/>
      <c r="AB29" s="113"/>
      <c r="AC29" s="36"/>
      <c r="AD29" s="108"/>
      <c r="AE29" s="108"/>
      <c r="AF29" s="103"/>
      <c r="AG29" s="113"/>
      <c r="AH29" s="36"/>
      <c r="AI29" s="108"/>
      <c r="AJ29" s="108"/>
      <c r="AK29" s="103"/>
      <c r="AL29" s="113"/>
      <c r="AM29" s="36"/>
      <c r="AN29" s="108"/>
      <c r="AO29" s="108"/>
      <c r="AP29" s="103"/>
    </row>
    <row r="30" customFormat="false" ht="11.25" hidden="false" customHeight="true" outlineLevel="0" collapsed="false">
      <c r="A30" s="109"/>
      <c r="B30" s="70"/>
      <c r="C30" s="113"/>
      <c r="D30" s="36"/>
      <c r="E30" s="108"/>
      <c r="F30" s="108"/>
      <c r="G30" s="103"/>
      <c r="H30" s="113"/>
      <c r="I30" s="36"/>
      <c r="J30" s="108"/>
      <c r="K30" s="108"/>
      <c r="L30" s="103"/>
      <c r="M30" s="113"/>
      <c r="N30" s="36"/>
      <c r="O30" s="108"/>
      <c r="P30" s="108"/>
      <c r="Q30" s="103"/>
      <c r="R30" s="113"/>
      <c r="S30" s="36"/>
      <c r="T30" s="108"/>
      <c r="U30" s="108"/>
      <c r="V30" s="103"/>
      <c r="W30" s="113"/>
      <c r="X30" s="36"/>
      <c r="Y30" s="108"/>
      <c r="Z30" s="108"/>
      <c r="AA30" s="103"/>
      <c r="AB30" s="113"/>
      <c r="AC30" s="36"/>
      <c r="AD30" s="108"/>
      <c r="AE30" s="108"/>
      <c r="AF30" s="103"/>
      <c r="AG30" s="113"/>
      <c r="AH30" s="36"/>
      <c r="AI30" s="108"/>
      <c r="AJ30" s="108"/>
      <c r="AK30" s="103"/>
      <c r="AL30" s="113"/>
      <c r="AM30" s="36"/>
      <c r="AN30" s="108"/>
      <c r="AO30" s="108"/>
      <c r="AP30" s="103"/>
    </row>
    <row r="31" customFormat="false" ht="11.25" hidden="false" customHeight="true" outlineLevel="0" collapsed="false">
      <c r="A31" s="109"/>
      <c r="B31" s="70"/>
      <c r="C31" s="111"/>
      <c r="D31" s="36"/>
      <c r="E31" s="108"/>
      <c r="F31" s="108"/>
      <c r="G31" s="103"/>
      <c r="H31" s="111"/>
      <c r="I31" s="36"/>
      <c r="J31" s="108"/>
      <c r="K31" s="108"/>
      <c r="L31" s="103"/>
      <c r="M31" s="111"/>
      <c r="N31" s="36"/>
      <c r="O31" s="108"/>
      <c r="P31" s="108"/>
      <c r="Q31" s="103"/>
      <c r="R31" s="111"/>
      <c r="S31" s="36"/>
      <c r="T31" s="108"/>
      <c r="U31" s="108"/>
      <c r="V31" s="103"/>
      <c r="W31" s="111"/>
      <c r="X31" s="36"/>
      <c r="Y31" s="108"/>
      <c r="Z31" s="108"/>
      <c r="AA31" s="103"/>
      <c r="AB31" s="111"/>
      <c r="AC31" s="36"/>
      <c r="AD31" s="108"/>
      <c r="AE31" s="108"/>
      <c r="AF31" s="103"/>
      <c r="AG31" s="111"/>
      <c r="AH31" s="36"/>
      <c r="AI31" s="108"/>
      <c r="AJ31" s="108"/>
      <c r="AK31" s="103"/>
      <c r="AL31" s="111"/>
      <c r="AM31" s="36"/>
      <c r="AN31" s="108"/>
      <c r="AO31" s="108"/>
      <c r="AP31" s="103"/>
    </row>
    <row r="32" customFormat="false" ht="11.25" hidden="false" customHeight="true" outlineLevel="0" collapsed="false">
      <c r="A32" s="109"/>
      <c r="B32" s="70"/>
      <c r="C32" s="113"/>
      <c r="D32" s="36"/>
      <c r="E32" s="108"/>
      <c r="F32" s="108"/>
      <c r="G32" s="103"/>
      <c r="H32" s="113"/>
      <c r="I32" s="36"/>
      <c r="J32" s="108"/>
      <c r="K32" s="108"/>
      <c r="L32" s="103"/>
      <c r="M32" s="113"/>
      <c r="N32" s="36"/>
      <c r="O32" s="108"/>
      <c r="P32" s="108"/>
      <c r="Q32" s="103"/>
      <c r="R32" s="113"/>
      <c r="S32" s="36"/>
      <c r="T32" s="108"/>
      <c r="U32" s="108"/>
      <c r="V32" s="103"/>
      <c r="W32" s="113"/>
      <c r="X32" s="36"/>
      <c r="Y32" s="108"/>
      <c r="Z32" s="108"/>
      <c r="AA32" s="103"/>
      <c r="AB32" s="113"/>
      <c r="AC32" s="36"/>
      <c r="AD32" s="108"/>
      <c r="AE32" s="108"/>
      <c r="AF32" s="103"/>
      <c r="AG32" s="113"/>
      <c r="AH32" s="36"/>
      <c r="AI32" s="108"/>
      <c r="AJ32" s="108"/>
      <c r="AK32" s="103"/>
      <c r="AL32" s="113"/>
      <c r="AM32" s="36"/>
      <c r="AN32" s="108"/>
      <c r="AO32" s="108"/>
      <c r="AP32" s="103"/>
    </row>
    <row r="33" customFormat="false" ht="11.25" hidden="false" customHeight="true" outlineLevel="0" collapsed="false">
      <c r="A33" s="109"/>
      <c r="B33" s="70"/>
      <c r="C33" s="113"/>
      <c r="D33" s="36"/>
      <c r="E33" s="108"/>
      <c r="F33" s="108"/>
      <c r="G33" s="103"/>
      <c r="H33" s="113"/>
      <c r="I33" s="36"/>
      <c r="J33" s="108"/>
      <c r="K33" s="108"/>
      <c r="L33" s="103"/>
      <c r="M33" s="113"/>
      <c r="N33" s="36"/>
      <c r="O33" s="108"/>
      <c r="P33" s="108"/>
      <c r="Q33" s="103"/>
      <c r="R33" s="113"/>
      <c r="S33" s="36"/>
      <c r="T33" s="108"/>
      <c r="U33" s="108"/>
      <c r="V33" s="103"/>
      <c r="W33" s="113"/>
      <c r="X33" s="36"/>
      <c r="Y33" s="108"/>
      <c r="Z33" s="108"/>
      <c r="AA33" s="103"/>
      <c r="AB33" s="113"/>
      <c r="AC33" s="36"/>
      <c r="AD33" s="108"/>
      <c r="AE33" s="108"/>
      <c r="AF33" s="103"/>
      <c r="AG33" s="113"/>
      <c r="AH33" s="36"/>
      <c r="AI33" s="108"/>
      <c r="AJ33" s="108"/>
      <c r="AK33" s="103"/>
      <c r="AL33" s="113"/>
      <c r="AM33" s="36"/>
      <c r="AN33" s="108"/>
      <c r="AO33" s="108"/>
      <c r="AP33" s="103"/>
    </row>
    <row r="34" customFormat="false" ht="11.25" hidden="false" customHeight="true" outlineLevel="0" collapsed="false">
      <c r="A34" s="109"/>
      <c r="B34" s="70"/>
      <c r="C34" s="113"/>
      <c r="D34" s="36"/>
      <c r="E34" s="108"/>
      <c r="F34" s="108"/>
      <c r="G34" s="103"/>
      <c r="H34" s="113"/>
      <c r="I34" s="36"/>
      <c r="J34" s="108"/>
      <c r="K34" s="108"/>
      <c r="L34" s="103"/>
      <c r="M34" s="113"/>
      <c r="N34" s="36"/>
      <c r="O34" s="108"/>
      <c r="P34" s="108"/>
      <c r="Q34" s="103"/>
      <c r="R34" s="113"/>
      <c r="S34" s="36"/>
      <c r="T34" s="108"/>
      <c r="U34" s="108"/>
      <c r="V34" s="103"/>
      <c r="W34" s="113"/>
      <c r="X34" s="36"/>
      <c r="Y34" s="108"/>
      <c r="Z34" s="108"/>
      <c r="AA34" s="103"/>
      <c r="AB34" s="113"/>
      <c r="AC34" s="36"/>
      <c r="AD34" s="108"/>
      <c r="AE34" s="108"/>
      <c r="AF34" s="103"/>
      <c r="AG34" s="113"/>
      <c r="AH34" s="36"/>
      <c r="AI34" s="108"/>
      <c r="AJ34" s="108"/>
      <c r="AK34" s="103"/>
      <c r="AL34" s="113"/>
      <c r="AM34" s="36"/>
      <c r="AN34" s="108"/>
      <c r="AO34" s="108"/>
      <c r="AP34" s="103"/>
    </row>
    <row r="35" customFormat="false" ht="11.25" hidden="false" customHeight="true" outlineLevel="0" collapsed="false">
      <c r="A35" s="109"/>
      <c r="B35" s="70"/>
      <c r="C35" s="113"/>
      <c r="D35" s="36"/>
      <c r="E35" s="108"/>
      <c r="F35" s="108"/>
      <c r="G35" s="103"/>
      <c r="H35" s="113"/>
      <c r="I35" s="36"/>
      <c r="J35" s="108"/>
      <c r="K35" s="108"/>
      <c r="L35" s="103"/>
      <c r="M35" s="113"/>
      <c r="N35" s="36"/>
      <c r="O35" s="108"/>
      <c r="P35" s="108"/>
      <c r="Q35" s="103"/>
      <c r="R35" s="113"/>
      <c r="S35" s="36"/>
      <c r="T35" s="108"/>
      <c r="U35" s="108"/>
      <c r="V35" s="103"/>
      <c r="W35" s="113"/>
      <c r="X35" s="36"/>
      <c r="Y35" s="108"/>
      <c r="Z35" s="108"/>
      <c r="AA35" s="103"/>
      <c r="AB35" s="113"/>
      <c r="AC35" s="36"/>
      <c r="AD35" s="108"/>
      <c r="AE35" s="108"/>
      <c r="AF35" s="103"/>
      <c r="AG35" s="113"/>
      <c r="AH35" s="36"/>
      <c r="AI35" s="108"/>
      <c r="AJ35" s="108"/>
      <c r="AK35" s="103"/>
      <c r="AL35" s="113"/>
      <c r="AM35" s="36"/>
      <c r="AN35" s="108"/>
      <c r="AO35" s="108"/>
      <c r="AP35" s="103"/>
    </row>
    <row r="36" customFormat="false" ht="11.25" hidden="false" customHeight="true" outlineLevel="0" collapsed="false">
      <c r="A36" s="109"/>
      <c r="B36" s="70"/>
      <c r="C36" s="113"/>
      <c r="D36" s="36"/>
      <c r="E36" s="108"/>
      <c r="F36" s="108"/>
      <c r="G36" s="103"/>
      <c r="H36" s="113"/>
      <c r="I36" s="36"/>
      <c r="J36" s="108"/>
      <c r="K36" s="108"/>
      <c r="L36" s="103"/>
      <c r="M36" s="113"/>
      <c r="N36" s="36"/>
      <c r="O36" s="108"/>
      <c r="P36" s="108"/>
      <c r="Q36" s="103"/>
      <c r="R36" s="113"/>
      <c r="S36" s="36"/>
      <c r="T36" s="108"/>
      <c r="U36" s="108"/>
      <c r="V36" s="103"/>
      <c r="W36" s="113"/>
      <c r="X36" s="36"/>
      <c r="Y36" s="108"/>
      <c r="Z36" s="108"/>
      <c r="AA36" s="103"/>
      <c r="AB36" s="113"/>
      <c r="AC36" s="36"/>
      <c r="AD36" s="108"/>
      <c r="AE36" s="108"/>
      <c r="AF36" s="103"/>
      <c r="AG36" s="113"/>
      <c r="AH36" s="36"/>
      <c r="AI36" s="108"/>
      <c r="AJ36" s="108"/>
      <c r="AK36" s="103"/>
      <c r="AL36" s="113"/>
      <c r="AM36" s="36"/>
      <c r="AN36" s="108"/>
      <c r="AO36" s="108"/>
      <c r="AP36" s="103"/>
    </row>
    <row r="37" customFormat="false" ht="11.25" hidden="false" customHeight="true" outlineLevel="0" collapsed="false">
      <c r="A37" s="109"/>
      <c r="B37" s="70"/>
      <c r="C37" s="113"/>
      <c r="D37" s="36"/>
      <c r="E37" s="108"/>
      <c r="F37" s="108"/>
      <c r="G37" s="103"/>
      <c r="H37" s="113"/>
      <c r="I37" s="36"/>
      <c r="J37" s="108"/>
      <c r="K37" s="108"/>
      <c r="L37" s="103"/>
      <c r="M37" s="113"/>
      <c r="N37" s="36"/>
      <c r="O37" s="108"/>
      <c r="P37" s="108"/>
      <c r="Q37" s="103"/>
      <c r="R37" s="113"/>
      <c r="S37" s="36"/>
      <c r="T37" s="108"/>
      <c r="U37" s="108"/>
      <c r="V37" s="103"/>
      <c r="W37" s="113"/>
      <c r="X37" s="36"/>
      <c r="Y37" s="108"/>
      <c r="Z37" s="108"/>
      <c r="AA37" s="103"/>
      <c r="AB37" s="113"/>
      <c r="AC37" s="36"/>
      <c r="AD37" s="108"/>
      <c r="AE37" s="108"/>
      <c r="AF37" s="103"/>
      <c r="AG37" s="113"/>
      <c r="AH37" s="36"/>
      <c r="AI37" s="108"/>
      <c r="AJ37" s="108"/>
      <c r="AK37" s="103"/>
      <c r="AL37" s="113"/>
      <c r="AM37" s="36"/>
      <c r="AN37" s="108"/>
      <c r="AO37" s="108"/>
      <c r="AP37" s="103"/>
    </row>
    <row r="38" customFormat="false" ht="11.25" hidden="false" customHeight="true" outlineLevel="0" collapsed="false">
      <c r="A38" s="109"/>
      <c r="B38" s="70"/>
      <c r="C38" s="113"/>
      <c r="D38" s="36"/>
      <c r="E38" s="108"/>
      <c r="F38" s="108"/>
      <c r="G38" s="103"/>
      <c r="H38" s="113"/>
      <c r="I38" s="36"/>
      <c r="J38" s="108"/>
      <c r="K38" s="108"/>
      <c r="L38" s="103"/>
      <c r="M38" s="113"/>
      <c r="N38" s="36"/>
      <c r="O38" s="108"/>
      <c r="P38" s="108"/>
      <c r="Q38" s="103"/>
      <c r="R38" s="113"/>
      <c r="S38" s="36"/>
      <c r="T38" s="108"/>
      <c r="U38" s="108"/>
      <c r="V38" s="103"/>
      <c r="W38" s="113"/>
      <c r="X38" s="36"/>
      <c r="Y38" s="108"/>
      <c r="Z38" s="108"/>
      <c r="AA38" s="103"/>
      <c r="AB38" s="113"/>
      <c r="AC38" s="36"/>
      <c r="AD38" s="108"/>
      <c r="AE38" s="108"/>
      <c r="AF38" s="103"/>
      <c r="AG38" s="113"/>
      <c r="AH38" s="36"/>
      <c r="AI38" s="108"/>
      <c r="AJ38" s="108"/>
      <c r="AK38" s="103"/>
      <c r="AL38" s="113"/>
      <c r="AM38" s="36"/>
      <c r="AN38" s="108"/>
      <c r="AO38" s="108"/>
      <c r="AP38" s="103"/>
    </row>
    <row r="39" customFormat="false" ht="11.25" hidden="false" customHeight="true" outlineLevel="0" collapsed="false">
      <c r="A39" s="109"/>
      <c r="B39" s="70"/>
      <c r="C39" s="111"/>
      <c r="D39" s="36"/>
      <c r="E39" s="108"/>
      <c r="F39" s="108"/>
      <c r="G39" s="103"/>
      <c r="H39" s="111"/>
      <c r="I39" s="36"/>
      <c r="J39" s="108"/>
      <c r="K39" s="108"/>
      <c r="L39" s="103"/>
      <c r="M39" s="111"/>
      <c r="N39" s="36"/>
      <c r="O39" s="108"/>
      <c r="P39" s="108"/>
      <c r="Q39" s="103"/>
      <c r="R39" s="111"/>
      <c r="S39" s="36"/>
      <c r="T39" s="108"/>
      <c r="U39" s="108"/>
      <c r="V39" s="103"/>
      <c r="W39" s="111"/>
      <c r="X39" s="36"/>
      <c r="Y39" s="108"/>
      <c r="Z39" s="108"/>
      <c r="AA39" s="103"/>
      <c r="AB39" s="111"/>
      <c r="AC39" s="36"/>
      <c r="AD39" s="108"/>
      <c r="AE39" s="108"/>
      <c r="AF39" s="103"/>
      <c r="AG39" s="111"/>
      <c r="AH39" s="36"/>
      <c r="AI39" s="108"/>
      <c r="AJ39" s="108"/>
      <c r="AK39" s="103"/>
      <c r="AL39" s="111"/>
      <c r="AM39" s="36"/>
      <c r="AN39" s="108"/>
      <c r="AO39" s="108"/>
      <c r="AP39" s="103"/>
    </row>
    <row r="40" customFormat="false" ht="11.25" hidden="false" customHeight="true" outlineLevel="0" collapsed="false">
      <c r="A40" s="109"/>
      <c r="B40" s="70"/>
      <c r="C40" s="113"/>
      <c r="D40" s="36"/>
      <c r="E40" s="108"/>
      <c r="F40" s="108"/>
      <c r="G40" s="103"/>
      <c r="H40" s="113"/>
      <c r="I40" s="36"/>
      <c r="J40" s="108"/>
      <c r="K40" s="108"/>
      <c r="L40" s="103"/>
      <c r="M40" s="113"/>
      <c r="N40" s="36"/>
      <c r="O40" s="108"/>
      <c r="P40" s="108"/>
      <c r="Q40" s="103"/>
      <c r="R40" s="113"/>
      <c r="S40" s="36"/>
      <c r="T40" s="108"/>
      <c r="U40" s="108"/>
      <c r="V40" s="103"/>
      <c r="W40" s="113"/>
      <c r="X40" s="36"/>
      <c r="Y40" s="108"/>
      <c r="Z40" s="108"/>
      <c r="AA40" s="103"/>
      <c r="AB40" s="113"/>
      <c r="AC40" s="36"/>
      <c r="AD40" s="108"/>
      <c r="AE40" s="108"/>
      <c r="AF40" s="103"/>
      <c r="AG40" s="113"/>
      <c r="AH40" s="36"/>
      <c r="AI40" s="108"/>
      <c r="AJ40" s="108"/>
      <c r="AK40" s="103"/>
      <c r="AL40" s="113"/>
      <c r="AM40" s="36"/>
      <c r="AN40" s="108"/>
      <c r="AO40" s="108"/>
      <c r="AP40" s="103"/>
    </row>
    <row r="41" customFormat="false" ht="11.25" hidden="false" customHeight="true" outlineLevel="0" collapsed="false">
      <c r="A41" s="109"/>
      <c r="B41" s="70"/>
      <c r="C41" s="113"/>
      <c r="D41" s="36"/>
      <c r="E41" s="108"/>
      <c r="F41" s="108"/>
      <c r="G41" s="103"/>
      <c r="H41" s="113"/>
      <c r="I41" s="36"/>
      <c r="J41" s="108"/>
      <c r="K41" s="108"/>
      <c r="L41" s="103"/>
      <c r="M41" s="113"/>
      <c r="N41" s="36"/>
      <c r="O41" s="108"/>
      <c r="P41" s="108"/>
      <c r="Q41" s="103"/>
      <c r="R41" s="113"/>
      <c r="S41" s="36"/>
      <c r="T41" s="108"/>
      <c r="U41" s="108"/>
      <c r="V41" s="103"/>
      <c r="W41" s="113"/>
      <c r="X41" s="36"/>
      <c r="Y41" s="108"/>
      <c r="Z41" s="108"/>
      <c r="AA41" s="103"/>
      <c r="AB41" s="113"/>
      <c r="AC41" s="36"/>
      <c r="AD41" s="108"/>
      <c r="AE41" s="108"/>
      <c r="AF41" s="103"/>
      <c r="AG41" s="113"/>
      <c r="AH41" s="36"/>
      <c r="AI41" s="108"/>
      <c r="AJ41" s="108"/>
      <c r="AK41" s="103"/>
      <c r="AL41" s="113"/>
      <c r="AM41" s="36"/>
      <c r="AN41" s="108"/>
      <c r="AO41" s="108"/>
      <c r="AP41" s="103"/>
    </row>
    <row r="42" customFormat="false" ht="11.25" hidden="false" customHeight="true" outlineLevel="0" collapsed="false">
      <c r="A42" s="109"/>
      <c r="B42" s="70"/>
      <c r="C42" s="113"/>
      <c r="D42" s="36"/>
      <c r="E42" s="108"/>
      <c r="F42" s="108"/>
      <c r="G42" s="103"/>
      <c r="H42" s="113"/>
      <c r="I42" s="36"/>
      <c r="J42" s="108"/>
      <c r="K42" s="108"/>
      <c r="L42" s="103"/>
      <c r="M42" s="113"/>
      <c r="N42" s="36"/>
      <c r="O42" s="108"/>
      <c r="P42" s="108"/>
      <c r="Q42" s="103"/>
      <c r="R42" s="113"/>
      <c r="S42" s="36"/>
      <c r="T42" s="108"/>
      <c r="U42" s="108"/>
      <c r="V42" s="103"/>
      <c r="W42" s="113"/>
      <c r="X42" s="36"/>
      <c r="Y42" s="108"/>
      <c r="Z42" s="108"/>
      <c r="AA42" s="103"/>
      <c r="AB42" s="113"/>
      <c r="AC42" s="36"/>
      <c r="AD42" s="108"/>
      <c r="AE42" s="108"/>
      <c r="AF42" s="103"/>
      <c r="AG42" s="113"/>
      <c r="AH42" s="36"/>
      <c r="AI42" s="108"/>
      <c r="AJ42" s="108"/>
      <c r="AK42" s="103"/>
      <c r="AL42" s="113"/>
      <c r="AM42" s="36"/>
      <c r="AN42" s="108"/>
      <c r="AO42" s="108"/>
      <c r="AP42" s="103"/>
    </row>
    <row r="43" customFormat="false" ht="11.25" hidden="false" customHeight="true" outlineLevel="0" collapsed="false">
      <c r="A43" s="109"/>
      <c r="B43" s="70"/>
      <c r="C43" s="113"/>
      <c r="D43" s="36"/>
      <c r="E43" s="108"/>
      <c r="F43" s="108"/>
      <c r="G43" s="103"/>
      <c r="H43" s="113"/>
      <c r="I43" s="36"/>
      <c r="J43" s="108"/>
      <c r="K43" s="108"/>
      <c r="L43" s="103"/>
      <c r="M43" s="113"/>
      <c r="N43" s="36"/>
      <c r="O43" s="108"/>
      <c r="P43" s="108"/>
      <c r="Q43" s="103"/>
      <c r="R43" s="113"/>
      <c r="S43" s="36"/>
      <c r="T43" s="108"/>
      <c r="U43" s="108"/>
      <c r="V43" s="103"/>
      <c r="W43" s="113"/>
      <c r="X43" s="36"/>
      <c r="Y43" s="108"/>
      <c r="Z43" s="108"/>
      <c r="AA43" s="103"/>
      <c r="AB43" s="113"/>
      <c r="AC43" s="36"/>
      <c r="AD43" s="108"/>
      <c r="AE43" s="108"/>
      <c r="AF43" s="103"/>
      <c r="AG43" s="113"/>
      <c r="AH43" s="36"/>
      <c r="AI43" s="108"/>
      <c r="AJ43" s="108"/>
      <c r="AK43" s="103"/>
      <c r="AL43" s="113"/>
      <c r="AM43" s="36"/>
      <c r="AN43" s="108"/>
      <c r="AO43" s="108"/>
      <c r="AP43" s="103"/>
    </row>
    <row r="44" customFormat="false" ht="11.25" hidden="false" customHeight="true" outlineLevel="0" collapsed="false">
      <c r="A44" s="109"/>
      <c r="B44" s="70"/>
      <c r="C44" s="113"/>
      <c r="D44" s="36"/>
      <c r="E44" s="108"/>
      <c r="F44" s="108"/>
      <c r="G44" s="103"/>
      <c r="H44" s="113"/>
      <c r="I44" s="36"/>
      <c r="J44" s="108"/>
      <c r="K44" s="108"/>
      <c r="L44" s="103"/>
      <c r="M44" s="113"/>
      <c r="N44" s="36"/>
      <c r="O44" s="108"/>
      <c r="P44" s="108"/>
      <c r="Q44" s="103"/>
      <c r="R44" s="113"/>
      <c r="S44" s="36"/>
      <c r="T44" s="108"/>
      <c r="U44" s="108"/>
      <c r="V44" s="103"/>
      <c r="W44" s="113"/>
      <c r="X44" s="36"/>
      <c r="Y44" s="108"/>
      <c r="Z44" s="108"/>
      <c r="AA44" s="103"/>
      <c r="AB44" s="113"/>
      <c r="AC44" s="36"/>
      <c r="AD44" s="108"/>
      <c r="AE44" s="108"/>
      <c r="AF44" s="103"/>
      <c r="AG44" s="113"/>
      <c r="AH44" s="36"/>
      <c r="AI44" s="108"/>
      <c r="AJ44" s="108"/>
      <c r="AK44" s="103"/>
      <c r="AL44" s="113"/>
      <c r="AM44" s="36"/>
      <c r="AN44" s="108"/>
      <c r="AO44" s="108"/>
      <c r="AP44" s="103"/>
    </row>
    <row r="45" customFormat="false" ht="11.25" hidden="false" customHeight="true" outlineLevel="0" collapsed="false">
      <c r="A45" s="109"/>
      <c r="B45" s="70"/>
      <c r="C45" s="113"/>
      <c r="D45" s="36"/>
      <c r="E45" s="108"/>
      <c r="F45" s="108"/>
      <c r="G45" s="103"/>
      <c r="H45" s="113"/>
      <c r="I45" s="36"/>
      <c r="J45" s="108"/>
      <c r="K45" s="108"/>
      <c r="L45" s="103"/>
      <c r="M45" s="113"/>
      <c r="N45" s="36"/>
      <c r="O45" s="108"/>
      <c r="P45" s="108"/>
      <c r="Q45" s="103"/>
      <c r="R45" s="113"/>
      <c r="S45" s="36"/>
      <c r="T45" s="108"/>
      <c r="U45" s="108"/>
      <c r="V45" s="103"/>
      <c r="W45" s="113"/>
      <c r="X45" s="36"/>
      <c r="Y45" s="108"/>
      <c r="Z45" s="108"/>
      <c r="AA45" s="103"/>
      <c r="AB45" s="113"/>
      <c r="AC45" s="36"/>
      <c r="AD45" s="108"/>
      <c r="AE45" s="108"/>
      <c r="AF45" s="103"/>
      <c r="AG45" s="113"/>
      <c r="AH45" s="36"/>
      <c r="AI45" s="108"/>
      <c r="AJ45" s="108"/>
      <c r="AK45" s="103"/>
      <c r="AL45" s="113"/>
      <c r="AM45" s="36"/>
      <c r="AN45" s="108"/>
      <c r="AO45" s="108"/>
      <c r="AP45" s="103"/>
    </row>
    <row r="46" customFormat="false" ht="11.25" hidden="false" customHeight="true" outlineLevel="0" collapsed="false">
      <c r="A46" s="109"/>
      <c r="B46" s="70"/>
      <c r="C46" s="113"/>
      <c r="D46" s="36"/>
      <c r="E46" s="108"/>
      <c r="F46" s="108"/>
      <c r="G46" s="103"/>
      <c r="H46" s="113"/>
      <c r="I46" s="36"/>
      <c r="J46" s="108"/>
      <c r="K46" s="108"/>
      <c r="L46" s="103"/>
      <c r="M46" s="113"/>
      <c r="N46" s="36"/>
      <c r="O46" s="108"/>
      <c r="P46" s="108"/>
      <c r="Q46" s="103"/>
      <c r="R46" s="113"/>
      <c r="S46" s="36"/>
      <c r="T46" s="108"/>
      <c r="U46" s="108"/>
      <c r="V46" s="103"/>
      <c r="W46" s="113"/>
      <c r="X46" s="36"/>
      <c r="Y46" s="108"/>
      <c r="Z46" s="108"/>
      <c r="AA46" s="103"/>
      <c r="AB46" s="113"/>
      <c r="AC46" s="36"/>
      <c r="AD46" s="108"/>
      <c r="AE46" s="108"/>
      <c r="AF46" s="103"/>
      <c r="AG46" s="113"/>
      <c r="AH46" s="36"/>
      <c r="AI46" s="108"/>
      <c r="AJ46" s="108"/>
      <c r="AK46" s="103"/>
      <c r="AL46" s="113"/>
      <c r="AM46" s="36"/>
      <c r="AN46" s="108"/>
      <c r="AO46" s="108"/>
      <c r="AP46" s="103"/>
    </row>
    <row r="47" customFormat="false" ht="11.25" hidden="false" customHeight="true" outlineLevel="0" collapsed="false">
      <c r="A47" s="109"/>
      <c r="B47" s="70"/>
      <c r="C47" s="115"/>
      <c r="D47" s="36"/>
      <c r="E47" s="108"/>
      <c r="F47" s="108"/>
      <c r="G47" s="103"/>
      <c r="H47" s="115"/>
      <c r="I47" s="36"/>
      <c r="J47" s="108"/>
      <c r="K47" s="108"/>
      <c r="L47" s="103"/>
      <c r="M47" s="115"/>
      <c r="N47" s="36"/>
      <c r="O47" s="108"/>
      <c r="P47" s="108"/>
      <c r="Q47" s="103"/>
      <c r="R47" s="115"/>
      <c r="S47" s="36"/>
      <c r="T47" s="108"/>
      <c r="U47" s="108"/>
      <c r="V47" s="103"/>
      <c r="W47" s="115"/>
      <c r="X47" s="36"/>
      <c r="Y47" s="108"/>
      <c r="Z47" s="108"/>
      <c r="AA47" s="103"/>
      <c r="AB47" s="115"/>
      <c r="AC47" s="36"/>
      <c r="AD47" s="108"/>
      <c r="AE47" s="108"/>
      <c r="AF47" s="103"/>
      <c r="AG47" s="115"/>
      <c r="AH47" s="36"/>
      <c r="AI47" s="108"/>
      <c r="AJ47" s="108"/>
      <c r="AK47" s="103"/>
      <c r="AL47" s="115"/>
      <c r="AM47" s="36"/>
      <c r="AN47" s="108"/>
      <c r="AO47" s="108"/>
      <c r="AP47" s="103"/>
    </row>
    <row r="48" customFormat="false" ht="11.25" hidden="false" customHeight="true" outlineLevel="0" collapsed="false">
      <c r="A48" s="109"/>
      <c r="B48" s="116"/>
      <c r="C48" s="106"/>
      <c r="D48" s="37"/>
      <c r="E48" s="107"/>
      <c r="F48" s="107"/>
      <c r="G48" s="103"/>
      <c r="H48" s="106"/>
      <c r="I48" s="37"/>
      <c r="J48" s="107"/>
      <c r="K48" s="107"/>
      <c r="L48" s="103"/>
      <c r="M48" s="106"/>
      <c r="N48" s="37"/>
      <c r="O48" s="107"/>
      <c r="P48" s="107"/>
      <c r="Q48" s="103"/>
      <c r="R48" s="106"/>
      <c r="S48" s="37"/>
      <c r="T48" s="107"/>
      <c r="U48" s="107"/>
      <c r="V48" s="103"/>
      <c r="W48" s="106"/>
      <c r="X48" s="37"/>
      <c r="Y48" s="107"/>
      <c r="Z48" s="107"/>
      <c r="AA48" s="103"/>
      <c r="AB48" s="106"/>
      <c r="AC48" s="37"/>
      <c r="AD48" s="107"/>
      <c r="AE48" s="107"/>
      <c r="AF48" s="103"/>
      <c r="AG48" s="106"/>
      <c r="AH48" s="37"/>
      <c r="AI48" s="107"/>
      <c r="AJ48" s="107"/>
      <c r="AK48" s="103"/>
      <c r="AL48" s="106"/>
      <c r="AM48" s="37"/>
      <c r="AN48" s="107"/>
      <c r="AO48" s="107"/>
      <c r="AP48" s="103"/>
    </row>
    <row r="49" customFormat="false" ht="11.25" hidden="false" customHeight="true" outlineLevel="0" collapsed="false">
      <c r="A49" s="109"/>
      <c r="B49" s="70"/>
      <c r="C49" s="106"/>
      <c r="D49" s="37"/>
      <c r="E49" s="107"/>
      <c r="F49" s="107"/>
      <c r="G49" s="103"/>
      <c r="H49" s="106"/>
      <c r="I49" s="37"/>
      <c r="J49" s="107"/>
      <c r="K49" s="107"/>
      <c r="L49" s="103"/>
      <c r="M49" s="106"/>
      <c r="N49" s="37"/>
      <c r="O49" s="107"/>
      <c r="P49" s="107"/>
      <c r="Q49" s="103"/>
      <c r="R49" s="106"/>
      <c r="S49" s="37"/>
      <c r="T49" s="107"/>
      <c r="U49" s="107"/>
      <c r="V49" s="103"/>
      <c r="W49" s="106"/>
      <c r="X49" s="37"/>
      <c r="Y49" s="107"/>
      <c r="Z49" s="107"/>
      <c r="AA49" s="103"/>
      <c r="AB49" s="106"/>
      <c r="AC49" s="37"/>
      <c r="AD49" s="107"/>
      <c r="AE49" s="107"/>
      <c r="AF49" s="103"/>
      <c r="AG49" s="106"/>
      <c r="AH49" s="37"/>
      <c r="AI49" s="107"/>
      <c r="AJ49" s="107"/>
      <c r="AK49" s="103"/>
      <c r="AL49" s="106"/>
      <c r="AM49" s="37"/>
      <c r="AN49" s="107"/>
      <c r="AO49" s="107"/>
      <c r="AP49" s="103"/>
    </row>
    <row r="50" customFormat="false" ht="11.25" hidden="false" customHeight="true" outlineLevel="0" collapsed="false">
      <c r="A50" s="109"/>
      <c r="B50" s="70"/>
      <c r="C50" s="106"/>
      <c r="D50" s="37"/>
      <c r="E50" s="107"/>
      <c r="F50" s="107"/>
      <c r="G50" s="103"/>
      <c r="H50" s="106"/>
      <c r="I50" s="37"/>
      <c r="J50" s="107"/>
      <c r="K50" s="107"/>
      <c r="L50" s="103"/>
      <c r="M50" s="106"/>
      <c r="N50" s="37"/>
      <c r="O50" s="107"/>
      <c r="P50" s="107"/>
      <c r="Q50" s="103"/>
      <c r="R50" s="106"/>
      <c r="S50" s="37"/>
      <c r="T50" s="107"/>
      <c r="U50" s="107"/>
      <c r="V50" s="103"/>
      <c r="W50" s="106"/>
      <c r="X50" s="37"/>
      <c r="Y50" s="107"/>
      <c r="Z50" s="107"/>
      <c r="AA50" s="103"/>
      <c r="AB50" s="106"/>
      <c r="AC50" s="37"/>
      <c r="AD50" s="107"/>
      <c r="AE50" s="107"/>
      <c r="AF50" s="103"/>
      <c r="AG50" s="106"/>
      <c r="AH50" s="37"/>
      <c r="AI50" s="107"/>
      <c r="AJ50" s="107"/>
      <c r="AK50" s="103"/>
      <c r="AL50" s="106"/>
      <c r="AM50" s="37"/>
      <c r="AN50" s="107"/>
      <c r="AO50" s="107"/>
      <c r="AP50" s="103"/>
    </row>
    <row r="51" customFormat="false" ht="11.25" hidden="false" customHeight="true" outlineLevel="0" collapsed="false">
      <c r="A51" s="109"/>
      <c r="B51" s="70"/>
      <c r="C51" s="106"/>
      <c r="D51" s="37"/>
      <c r="E51" s="107"/>
      <c r="F51" s="107"/>
      <c r="G51" s="103"/>
      <c r="H51" s="106"/>
      <c r="I51" s="37"/>
      <c r="J51" s="107"/>
      <c r="K51" s="107"/>
      <c r="L51" s="103"/>
      <c r="M51" s="106"/>
      <c r="N51" s="37"/>
      <c r="O51" s="107"/>
      <c r="P51" s="107"/>
      <c r="Q51" s="103"/>
      <c r="R51" s="106"/>
      <c r="S51" s="37"/>
      <c r="T51" s="107"/>
      <c r="U51" s="107"/>
      <c r="V51" s="103"/>
      <c r="W51" s="106"/>
      <c r="X51" s="37"/>
      <c r="Y51" s="107"/>
      <c r="Z51" s="107"/>
      <c r="AA51" s="103"/>
      <c r="AB51" s="106"/>
      <c r="AC51" s="37"/>
      <c r="AD51" s="107"/>
      <c r="AE51" s="107"/>
      <c r="AF51" s="103"/>
      <c r="AG51" s="106"/>
      <c r="AH51" s="37"/>
      <c r="AI51" s="107"/>
      <c r="AJ51" s="107"/>
      <c r="AK51" s="103"/>
      <c r="AL51" s="106"/>
      <c r="AM51" s="37"/>
      <c r="AN51" s="107"/>
      <c r="AO51" s="107"/>
      <c r="AP51" s="103"/>
    </row>
    <row r="52" customFormat="false" ht="11.25" hidden="false" customHeight="true" outlineLevel="0" collapsed="false">
      <c r="A52" s="109"/>
      <c r="B52" s="70"/>
      <c r="C52" s="106"/>
      <c r="D52" s="37"/>
      <c r="E52" s="107"/>
      <c r="F52" s="107"/>
      <c r="G52" s="103"/>
      <c r="H52" s="106"/>
      <c r="I52" s="37"/>
      <c r="J52" s="107"/>
      <c r="K52" s="107"/>
      <c r="L52" s="103"/>
      <c r="M52" s="106"/>
      <c r="N52" s="37"/>
      <c r="O52" s="107"/>
      <c r="P52" s="107"/>
      <c r="Q52" s="103"/>
      <c r="R52" s="106"/>
      <c r="S52" s="37"/>
      <c r="T52" s="107"/>
      <c r="U52" s="107"/>
      <c r="V52" s="103"/>
      <c r="W52" s="106"/>
      <c r="X52" s="37"/>
      <c r="Y52" s="107"/>
      <c r="Z52" s="107"/>
      <c r="AA52" s="103"/>
      <c r="AB52" s="106"/>
      <c r="AC52" s="37"/>
      <c r="AD52" s="107"/>
      <c r="AE52" s="107"/>
      <c r="AF52" s="103"/>
      <c r="AG52" s="106"/>
      <c r="AH52" s="37"/>
      <c r="AI52" s="107"/>
      <c r="AJ52" s="107"/>
      <c r="AK52" s="103"/>
      <c r="AL52" s="106"/>
      <c r="AM52" s="37"/>
      <c r="AN52" s="107"/>
      <c r="AO52" s="107"/>
      <c r="AP52" s="103"/>
    </row>
    <row r="53" customFormat="false" ht="11.25" hidden="false" customHeight="true" outlineLevel="0" collapsed="false">
      <c r="A53" s="109"/>
      <c r="B53" s="112"/>
      <c r="C53" s="111"/>
      <c r="D53" s="36"/>
      <c r="E53" s="108"/>
      <c r="F53" s="108"/>
      <c r="G53" s="103"/>
      <c r="H53" s="111"/>
      <c r="I53" s="36"/>
      <c r="J53" s="108"/>
      <c r="K53" s="108"/>
      <c r="L53" s="103"/>
      <c r="M53" s="111"/>
      <c r="N53" s="36"/>
      <c r="O53" s="108"/>
      <c r="P53" s="108"/>
      <c r="Q53" s="103"/>
      <c r="R53" s="111"/>
      <c r="S53" s="36"/>
      <c r="T53" s="108"/>
      <c r="U53" s="108"/>
      <c r="V53" s="103"/>
      <c r="W53" s="111"/>
      <c r="X53" s="36"/>
      <c r="Y53" s="108"/>
      <c r="Z53" s="108"/>
      <c r="AA53" s="103"/>
      <c r="AB53" s="111"/>
      <c r="AC53" s="36"/>
      <c r="AD53" s="108"/>
      <c r="AE53" s="108"/>
      <c r="AF53" s="103"/>
      <c r="AG53" s="111"/>
      <c r="AH53" s="36"/>
      <c r="AI53" s="108"/>
      <c r="AJ53" s="108"/>
      <c r="AK53" s="103"/>
      <c r="AL53" s="111"/>
      <c r="AM53" s="36"/>
      <c r="AN53" s="108"/>
      <c r="AO53" s="108"/>
      <c r="AP53" s="103"/>
    </row>
    <row r="54" customFormat="false" ht="12" hidden="false" customHeight="true" outlineLevel="0" collapsed="false">
      <c r="A54" s="98"/>
      <c r="B54" s="98"/>
      <c r="C54" s="98"/>
      <c r="D54" s="98"/>
      <c r="E54" s="117"/>
      <c r="F54" s="117"/>
      <c r="G54" s="103"/>
      <c r="H54" s="98"/>
      <c r="I54" s="98"/>
      <c r="J54" s="117"/>
      <c r="K54" s="117"/>
      <c r="L54" s="103"/>
      <c r="M54" s="98"/>
      <c r="N54" s="98"/>
      <c r="O54" s="117"/>
      <c r="P54" s="117"/>
      <c r="Q54" s="103"/>
      <c r="R54" s="98"/>
      <c r="S54" s="98"/>
      <c r="T54" s="117"/>
      <c r="U54" s="117"/>
      <c r="V54" s="103"/>
      <c r="W54" s="98"/>
      <c r="X54" s="98"/>
      <c r="Y54" s="117"/>
      <c r="Z54" s="117"/>
      <c r="AA54" s="103"/>
      <c r="AB54" s="98"/>
      <c r="AC54" s="98"/>
      <c r="AD54" s="117"/>
      <c r="AE54" s="117"/>
      <c r="AF54" s="103"/>
      <c r="AG54" s="98"/>
      <c r="AH54" s="98"/>
      <c r="AI54" s="117"/>
      <c r="AJ54" s="117"/>
      <c r="AK54" s="103"/>
      <c r="AL54" s="98"/>
      <c r="AM54" s="98"/>
      <c r="AN54" s="117"/>
      <c r="AO54" s="117"/>
      <c r="AP54" s="103"/>
    </row>
  </sheetData>
  <mergeCells count="8">
    <mergeCell ref="C3:F3"/>
    <mergeCell ref="H3:K3"/>
    <mergeCell ref="M3:P3"/>
    <mergeCell ref="R3:U3"/>
    <mergeCell ref="W3:Z3"/>
    <mergeCell ref="AB3:AE3"/>
    <mergeCell ref="AG3:AJ3"/>
    <mergeCell ref="AL3:AO3"/>
  </mergeCells>
  <hyperlinks>
    <hyperlink ref="B1" location="'ELEMENT INDEX'!A1" display="Return to ELEMENT INDEX"/>
    <hyperlink ref="B2" location="SUMMARY!A1" display="Return to SUMMARY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100" fitToWidth="0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2014-07-31T16:11:14Z</dcterms:created>
  <dc:creator>aarontomsett</dc:creator>
  <dc:description/>
  <dc:language>en-US</dc:language>
  <cp:lastModifiedBy>Priscilla Wambui Baiya</cp:lastModifiedBy>
  <cp:lastPrinted>2026-05-13T13:30:21Z</cp:lastPrinted>
  <dcterms:modified xsi:type="dcterms:W3CDTF">2026-09-01T12:07:43Z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0x01010005CB25C6E58C114B93D374DE3BBF541C</vt:lpwstr>
  </property>
  <property fmtid="{D5CDD505-2E9C-101B-9397-08002B2CF9AE}" pid="3" name="_dlc_DocIdItemGuid">
    <vt:lpwstr>70557c06-f06d-4409-a753-2c74279f2782</vt:lpwstr>
  </property>
</Properties>
</file>

<file path=new_style_index.txt>183
</file>